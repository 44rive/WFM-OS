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tables/table30.xml" ContentType="application/vnd.openxmlformats-officedocument.spreadsheetml.table+xml"/>
  <Override PartName="/xl/worksheets/sheet32.xml" ContentType="application/vnd.openxmlformats-officedocument.spreadsheetml.worksheet+xml"/>
  <Override PartName="/xl/tables/table31.xml" ContentType="application/vnd.openxmlformats-officedocument.spreadsheetml.table+xml"/>
  <Override PartName="/xl/worksheets/sheet33.xml" ContentType="application/vnd.openxmlformats-officedocument.spreadsheetml.worksheet+xml"/>
  <Override PartName="/xl/tables/table32.xml" ContentType="application/vnd.openxmlformats-officedocument.spreadsheetml.table+xml"/>
  <Override PartName="/xl/worksheets/sheet34.xml" ContentType="application/vnd.openxmlformats-officedocument.spreadsheetml.worksheet+xml"/>
  <Override PartName="/xl/tables/table33.xml" ContentType="application/vnd.openxmlformats-officedocument.spreadsheetml.table+xml"/>
  <Override PartName="/xl/worksheets/sheet35.xml" ContentType="application/vnd.openxmlformats-officedocument.spreadsheetml.worksheet+xml"/>
  <Override PartName="/xl/tables/table34.xml" ContentType="application/vnd.openxmlformats-officedocument.spreadsheetml.table+xml"/>
  <Override PartName="/xl/worksheets/sheet36.xml" ContentType="application/vnd.openxmlformats-officedocument.spreadsheetml.worksheet+xml"/>
  <Override PartName="/xl/tables/table35.xml" ContentType="application/vnd.openxmlformats-officedocument.spreadsheetml.table+xml"/>
  <Override PartName="/xl/worksheets/sheet37.xml" ContentType="application/vnd.openxmlformats-officedocument.spreadsheetml.worksheet+xml"/>
  <Override PartName="/xl/tables/table36.xml" ContentType="application/vnd.openxmlformats-officedocument.spreadsheetml.table+xml"/>
  <Override PartName="/xl/worksheets/sheet38.xml" ContentType="application/vnd.openxmlformats-officedocument.spreadsheetml.worksheet+xml"/>
  <Override PartName="/xl/tables/table37.xml" ContentType="application/vnd.openxmlformats-officedocument.spreadsheetml.table+xml"/>
  <Override PartName="/xl/worksheets/sheet39.xml" ContentType="application/vnd.openxmlformats-officedocument.spreadsheetml.worksheet+xml"/>
  <Override PartName="/xl/tables/table38.xml" ContentType="application/vnd.openxmlformats-officedocument.spreadsheetml.table+xml"/>
  <Override PartName="/xl/worksheets/sheet40.xml" ContentType="application/vnd.openxmlformats-officedocument.spreadsheetml.worksheet+xml"/>
  <Override PartName="/xl/tables/table39.xml" ContentType="application/vnd.openxmlformats-officedocument.spreadsheetml.table+xml"/>
  <Override PartName="/xl/worksheets/sheet41.xml" ContentType="application/vnd.openxmlformats-officedocument.spreadsheetml.worksheet+xml"/>
  <Override PartName="/xl/tables/table40.xml" ContentType="application/vnd.openxmlformats-officedocument.spreadsheetml.table+xml"/>
  <Override PartName="/xl/worksheets/sheet42.xml" ContentType="application/vnd.openxmlformats-officedocument.spreadsheetml.worksheet+xml"/>
  <Override PartName="/xl/tables/table41.xml" ContentType="application/vnd.openxmlformats-officedocument.spreadsheetml.table+xml"/>
  <Override PartName="/xl/worksheets/sheet43.xml" ContentType="application/vnd.openxmlformats-officedocument.spreadsheetml.worksheet+xml"/>
  <Override PartName="/xl/tables/table42.xml" ContentType="application/vnd.openxmlformats-officedocument.spreadsheetml.table+xml"/>
  <Override PartName="/xl/worksheets/sheet44.xml" ContentType="application/vnd.openxmlformats-officedocument.spreadsheetml.worksheet+xml"/>
  <Override PartName="/xl/tables/table43.xml" ContentType="application/vnd.openxmlformats-officedocument.spreadsheetml.table+xml"/>
  <Override PartName="/xl/worksheets/sheet45.xml" ContentType="application/vnd.openxmlformats-officedocument.spreadsheetml.worksheet+xml"/>
  <Override PartName="/xl/tables/table44.xml" ContentType="application/vnd.openxmlformats-officedocument.spreadsheetml.table+xml"/>
  <Override PartName="/xl/worksheets/sheet46.xml" ContentType="application/vnd.openxmlformats-officedocument.spreadsheetml.worksheet+xml"/>
  <Override PartName="/xl/tables/table45.xml" ContentType="application/vnd.openxmlformats-officedocument.spreadsheetml.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ables/table46.xml" ContentType="application/vnd.openxmlformats-officedocument.spreadsheetml.table+xml"/>
  <Override PartName="/xl/worksheets/sheet55.xml" ContentType="application/vnd.openxmlformats-officedocument.spreadsheetml.worksheet+xml"/>
  <Override PartName="/xl/tables/table47.xml" ContentType="application/vnd.openxmlformats-officedocument.spreadsheetml.table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ables/table48.xml" ContentType="application/vnd.openxmlformats-officedocument.spreadsheetml.table+xml"/>
  <Override PartName="/xl/worksheets/sheet59.xml" ContentType="application/vnd.openxmlformats-officedocument.spreadsheetml.worksheet+xml"/>
  <Override PartName="/xl/tables/table4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OME" sheetId="1" state="visible" r:id="rId1"/>
    <sheet name="01_CONTROL_CENTER" sheetId="2" state="visible" r:id="rId2"/>
    <sheet name="02_DATA_QUALITY" sheetId="3" state="visible" r:id="rId3"/>
    <sheet name="03_REFRESH_AUDIT" sheetId="4" state="visible" r:id="rId4"/>
    <sheet name="10_STRATEGIC_PLAN" sheetId="5" state="visible" r:id="rId5"/>
    <sheet name="11_DEMAND_PLAN" sheetId="6" state="visible" r:id="rId6"/>
    <sheet name="20_FORECAST" sheetId="7" state="visible" r:id="rId7"/>
    <sheet name="21_FORECAST_ACCURACY" sheetId="8" state="visible" r:id="rId8"/>
    <sheet name="22_CAPACITY_PLAN" sheetId="9" state="visible" r:id="rId9"/>
    <sheet name="23_HIRING_PLAN" sheetId="10" state="visible" r:id="rId10"/>
    <sheet name="24_SCHEDULE_DESIGN" sheetId="11" state="visible" r:id="rId11"/>
    <sheet name="25_LEAVE_PLAN" sheetId="12" state="visible" r:id="rId12"/>
    <sheet name="30_INTRADAY" sheetId="13" state="visible" r:id="rId13"/>
    <sheet name="31_ATTENDANCE" sheetId="14" state="visible" r:id="rId14"/>
    <sheet name="32_ADHERENCE" sheetId="15" state="visible" r:id="rId15"/>
    <sheet name="33_ACTION_LOG" sheetId="16" state="visible" r:id="rId16"/>
    <sheet name="40_PERFORMANCE" sheetId="17" state="visible" r:id="rId17"/>
    <sheet name="41_EXECUTIVE" sheetId="18" state="visible" r:id="rId18"/>
    <sheet name="42_BONUS_CONTROL" sheetId="19" state="visible" r:id="rId19"/>
    <sheet name="59_PARAMETERS" sheetId="20" state="visible" r:id="rId20"/>
    <sheet name="60_SOURCE_SYSTEMS" sheetId="21" state="visible" r:id="rId21"/>
    <sheet name="61_FIELD_MAPPING" sheetId="22" state="visible" r:id="rId22"/>
    <sheet name="62_VALUE_MAPPING" sheetId="23" state="visible" r:id="rId23"/>
    <sheet name="63_PEOPLE" sheetId="24" state="visible" r:id="rId24"/>
    <sheet name="64_IDENTITY_MAPPING" sheetId="25" state="visible" r:id="rId25"/>
    <sheet name="65_ACTIVITIES" sheetId="26" state="visible" r:id="rId26"/>
    <sheet name="66_QUEUE_MAPPING" sheetId="27" state="visible" r:id="rId27"/>
    <sheet name="67_STATE_MAPPING" sheetId="28" state="visible" r:id="rId28"/>
    <sheet name="68_TARGETS" sheetId="29" state="visible" r:id="rId29"/>
    <sheet name="69_CALENDAR_EVENTS" sheetId="30" state="visible" r:id="rId30"/>
    <sheet name="70_SHIFT_RULES" sheetId="31" state="visible" r:id="rId31"/>
    <sheet name="71_METRIC_RULES" sheetId="32" state="visible" r:id="rId32"/>
    <sheet name="72_FORECAST_POLICIES" sheetId="33" state="visible" r:id="rId33"/>
    <sheet name="73_CAPACITY_POLICIES" sheetId="34" state="visible" r:id="rId34"/>
    <sheet name="74_INTRADAY_PROFILES" sheetId="35" state="visible" r:id="rId35"/>
    <sheet name="75_HIRING_POLICIES" sheetId="36" state="visible" r:id="rId36"/>
    <sheet name="80_FORECAST_OVERRIDES" sheetId="37" state="visible" r:id="rId37"/>
    <sheet name="81_ATTEND_DECISIONS" sheetId="38" state="visible" r:id="rId38"/>
    <sheet name="82_ACTION_INPUT" sheetId="39" state="visible" r:id="rId39"/>
    <sheet name="83_SCENARIO_INPUTS" sheetId="40" state="visible" r:id="rId40"/>
    <sheet name="84_CLOSE_DAY" sheetId="41" state="visible" r:id="rId41"/>
    <sheet name="85_FORECAST_APPROVAL" sheetId="42" state="visible" r:id="rId42"/>
    <sheet name="86_REQUIREMENT_APPROVAL" sheetId="43" state="visible" r:id="rId43"/>
    <sheet name="87_SUPPLY_ASSUMPTIONS" sheetId="44" state="visible" r:id="rId44"/>
    <sheet name="88_SUPPLY_APPROVAL" sheetId="45" state="visible" r:id="rId45"/>
    <sheet name="89_HIRING_APPROVAL" sheetId="46" state="visible" r:id="rId46"/>
    <sheet name="90_LOOKUPS" sheetId="47" state="hidden" r:id="rId47"/>
    <sheet name="91_PY_INIT" sheetId="48" state="hidden" r:id="rId48"/>
    <sheet name="92_PY_FORECAST" sheetId="49" state="hidden" r:id="rId49"/>
    <sheet name="93A_PY_INTERVAL" sheetId="50" state="hidden" r:id="rId50"/>
    <sheet name="93B_PY_CAPACITY" sheetId="51" state="hidden" r:id="rId51"/>
    <sheet name="93C_PY_SUPPLY" sheetId="52" state="hidden" r:id="rId52"/>
    <sheet name="93D_PY_HIRING" sheetId="53" state="hidden" r:id="rId53"/>
    <sheet name="94_SNAPSHOT_STORE" sheetId="54" state="hidden" r:id="rId54"/>
    <sheet name="95_QUERY_OUTPUTS" sheetId="55" state="hidden" r:id="rId55"/>
    <sheet name="96_PIVOT_SUPPORT" sheetId="56" state="hidden" r:id="rId56"/>
    <sheet name="97_MODEL_REGISTRY" sheetId="57" state="hidden" r:id="rId57"/>
    <sheet name="98_TEST_HARNESS" sheetId="58" state="hidden" r:id="rId58"/>
    <sheet name="99_BUILD_INFO" sheetId="59" state="visible" r:id="rId59"/>
  </sheets>
  <definedNames>
    <definedName name="BOOLEAN_LIST">'90_LOOKUPS'!$A$2:$A$3</definedName>
    <definedName name="PROFILE_LIST">'90_LOOKUPS'!$B$2:$B$2</definedName>
    <definedName name="TIMEZONE_LIST">'90_LOOKUPS'!$C$2:$C$11</definedName>
    <definedName name="REFRESH_MODE_LIST">'90_LOOKUPS'!$D$2:$D$3</definedName>
    <definedName name="DQ_STATUS_LIST">'90_LOOKUPS'!$E$2:$E$5</definedName>
    <definedName name="APPROVAL_LIST">'90_LOOKUPS'!$F$2:$F$6</definedName>
    <definedName name="ATTENDANCE_DECISION_LIST">'90_LOOKUPS'!$G$2:$G$6</definedName>
    <definedName name="SEVERITY_LIST">'90_LOOKUPS'!$H$2:$H$4</definedName>
    <definedName name="ACTION_STATUS_LIST">'90_LOOKUPS'!$I$2:$I$7</definedName>
    <definedName name="CHANNEL_LIST">'90_LOOKUPS'!$J$2:$J$8</definedName>
    <definedName name="FORMAT_LIST">'90_LOOKUPS'!$K$2:$K$8</definedName>
    <definedName name="FORECAST_METHOD_LIST">'90_LOOKUPS'!$L$2:$L$2</definedName>
    <definedName name="CAPACITY_METHOD_LIST">'90_LOOKUPS'!$M$2:$M$3</definedName>
    <definedName name="FORECAST_FREQUENCY_LIST">'90_LOOKUPS'!$N$2:$N$2</definedName>
    <definedName name="PLANNING_IMPACT_LIST">'90_LOOKUPS'!$O$2:$O$4</definedName>
    <definedName name="DAY_TYPE_LIST">'90_LOOKUPS'!$P$2:$P$9</definedName>
    <definedName name="HIRING_TIMING_LIST">'90_LOOKUPS'!$Q$2:$Q$3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libri"/>
      <family val="2"/>
      <color theme="1"/>
      <sz val="11"/>
      <scheme val="minor"/>
    </font>
    <font>
      <name val="Aptos"/>
      <b val="1"/>
      <color rgb="00334155"/>
      <sz val="9"/>
    </font>
    <font>
      <name val="Aptos"/>
      <color rgb="00334155"/>
      <sz val="9"/>
    </font>
    <font>
      <name val="Aptos"/>
      <b val="1"/>
      <color rgb="00FFFFFF"/>
      <sz val="20"/>
    </font>
    <font>
      <name val="Aptos"/>
      <b val="1"/>
      <color rgb="00FFFFFF"/>
      <sz val="9"/>
    </font>
    <font>
      <name val="Aptos"/>
      <b val="1"/>
      <color rgb="00FFF1D6"/>
      <sz val="8.5"/>
    </font>
    <font>
      <name val="Aptos"/>
      <b val="1"/>
      <color rgb="00111827"/>
      <sz val="18"/>
    </font>
    <font>
      <name val="Aptos"/>
      <color rgb="0064748B"/>
      <sz val="9"/>
    </font>
    <font>
      <name val="Aptos"/>
      <b val="1"/>
      <color rgb="0064748B"/>
      <sz val="8.5"/>
    </font>
    <font>
      <name val="Aptos"/>
      <b val="1"/>
      <color rgb="00111827"/>
      <sz val="15"/>
    </font>
    <font>
      <name val="Aptos"/>
      <b val="1"/>
      <color rgb="00334155"/>
      <sz val="10"/>
    </font>
    <font>
      <name val="Aptos"/>
      <b val="1"/>
      <color rgb="00111827"/>
      <sz val="14"/>
    </font>
    <font>
      <name val="Aptos"/>
      <color rgb="0064748B"/>
      <sz val="10"/>
    </font>
    <font>
      <name val="Aptos"/>
      <b val="1"/>
      <color rgb="000B6670"/>
      <sz val="8.5"/>
      <u val="single"/>
    </font>
    <font>
      <name val="Aptos"/>
      <b val="1"/>
      <color rgb="00B7791F"/>
      <sz val="9"/>
    </font>
    <font>
      <name val="Aptos"/>
      <b val="1"/>
      <color rgb="00FFFFFF"/>
      <sz val="18"/>
    </font>
    <font>
      <name val="Aptos"/>
      <b val="1"/>
      <color rgb="00FFFFFF"/>
      <sz val="8.5"/>
      <u val="single"/>
    </font>
    <font>
      <name val="Aptos"/>
      <b val="1"/>
      <color rgb="00111827"/>
      <sz val="24"/>
    </font>
    <font>
      <name val="Aptos"/>
      <b val="1"/>
      <color rgb="0064748B"/>
      <sz val="8"/>
    </font>
    <font>
      <name val="Aptos"/>
      <b val="1"/>
      <color rgb="00315E9B"/>
      <sz val="9"/>
    </font>
    <font>
      <name val="Aptos"/>
      <b val="1"/>
      <color rgb="000B6670"/>
      <sz val="9"/>
    </font>
    <font>
      <name val="Aptos"/>
      <color rgb="00334155"/>
      <sz val="10"/>
    </font>
    <font>
      <name val="Aptos"/>
      <b val="1"/>
      <color rgb="00B7791F"/>
      <sz val="10"/>
    </font>
  </fonts>
  <fills count="9">
    <fill>
      <patternFill/>
    </fill>
    <fill>
      <patternFill patternType="gray125"/>
    </fill>
    <fill>
      <patternFill patternType="solid">
        <fgColor rgb="00F6F7F9"/>
      </patternFill>
    </fill>
    <fill>
      <patternFill patternType="solid">
        <fgColor rgb="00081824"/>
      </patternFill>
    </fill>
    <fill>
      <patternFill patternType="solid">
        <fgColor rgb="000B2233"/>
      </patternFill>
    </fill>
    <fill>
      <patternFill patternType="solid">
        <fgColor rgb="00FFFFFF"/>
      </patternFill>
    </fill>
    <fill>
      <patternFill patternType="solid">
        <fgColor rgb="00FFF1D6"/>
      </patternFill>
    </fill>
    <fill>
      <patternFill patternType="solid">
        <fgColor rgb="00DCEFF1"/>
      </patternFill>
    </fill>
    <fill>
      <patternFill patternType="solid">
        <fgColor rgb="00E2EBF7"/>
      </patternFill>
    </fill>
  </fills>
  <borders count="15">
    <border>
      <left/>
      <right/>
      <top/>
      <bottom/>
      <diagonal/>
    </border>
    <border>
      <bottom style="medium">
        <color rgb="00168A96"/>
      </bottom>
    </border>
    <border>
      <left style="medium">
        <color rgb="00315E9B"/>
      </left>
    </border>
    <border>
      <left style="medium">
        <color rgb="00B7791F"/>
      </left>
    </border>
    <border>
      <left style="medium">
        <color rgb="00A4663F"/>
      </left>
    </border>
    <border>
      <left style="medium">
        <color rgb="000B6670"/>
      </left>
    </border>
    <border>
      <left style="medium">
        <color rgb="000B2233"/>
      </left>
    </border>
    <border>
      <bottom style="medium">
        <color rgb="00D8DEE7"/>
      </bottom>
    </border>
    <border>
      <bottom style="medium">
        <color rgb="0064748B"/>
      </bottom>
    </border>
    <border>
      <bottom style="thin">
        <color rgb="00E9EDF2"/>
      </bottom>
    </border>
    <border>
      <left style="medium">
        <color rgb="00168A96"/>
      </left>
      <bottom style="thin">
        <color rgb="00E9EDF2"/>
      </bottom>
    </border>
    <border>
      <left style="thin">
        <color rgb="00D8DEE7"/>
      </left>
      <right style="thin">
        <color rgb="00D8DEE7"/>
      </right>
      <top style="thin">
        <color rgb="00D8DEE7"/>
      </top>
      <bottom style="thin">
        <color rgb="00D8DEE7"/>
      </bottom>
    </border>
    <border>
      <left style="medium">
        <color rgb="00D8DEE7"/>
      </left>
    </border>
    <border>
      <left style="medium">
        <color rgb="00168A96"/>
      </left>
    </border>
    <border>
      <left style="medium">
        <color rgb="0064748B"/>
      </left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0" applyAlignment="1" pivotButton="0" quotePrefix="0" xfId="0">
      <alignment vertical="bottom"/>
    </xf>
    <xf numFmtId="0" fontId="7" fillId="2" borderId="0" applyAlignment="1" pivotButton="0" quotePrefix="0" xfId="0">
      <alignment vertical="center"/>
    </xf>
    <xf numFmtId="0" fontId="8" fillId="5" borderId="2" applyAlignment="1" pivotButton="0" quotePrefix="0" xfId="0">
      <alignment vertical="center" indent="1"/>
    </xf>
    <xf numFmtId="0" fontId="8" fillId="5" borderId="3" applyAlignment="1" pivotButton="0" quotePrefix="0" xfId="0">
      <alignment vertical="center" indent="1"/>
    </xf>
    <xf numFmtId="0" fontId="9" fillId="5" borderId="2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10" fillId="2" borderId="0" pivotButton="0" quotePrefix="0" xfId="0"/>
    <xf numFmtId="0" fontId="11" fillId="5" borderId="4" applyAlignment="1" pivotButton="0" quotePrefix="0" xfId="0">
      <alignment vertical="center" indent="1"/>
    </xf>
    <xf numFmtId="0" fontId="11" fillId="5" borderId="5" applyAlignment="1" pivotButton="0" quotePrefix="0" xfId="0">
      <alignment vertical="center" indent="1"/>
    </xf>
    <xf numFmtId="0" fontId="11" fillId="5" borderId="6" applyAlignment="1" pivotButton="0" quotePrefix="0" xfId="0">
      <alignment vertical="center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5" borderId="4" applyAlignment="1" pivotButton="0" quotePrefix="0" xfId="0">
      <alignment vertical="center" wrapText="1" indent="1"/>
    </xf>
    <xf numFmtId="0" fontId="12" fillId="5" borderId="5" applyAlignment="1" pivotButton="0" quotePrefix="0" xfId="0">
      <alignment vertical="center" wrapText="1" indent="1"/>
    </xf>
    <xf numFmtId="0" fontId="12" fillId="5" borderId="6" applyAlignment="1" pivotButton="0" quotePrefix="0" xfId="0">
      <alignment vertical="center" wrapText="1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3" fillId="5" borderId="6" applyAlignment="1" pivotButton="0" quotePrefix="0" xfId="0">
      <alignment horizontal="left" vertical="center" indent="1"/>
    </xf>
    <xf numFmtId="0" fontId="1" fillId="5" borderId="0" applyAlignment="1" pivotButton="0" quotePrefix="0" xfId="0">
      <alignment vertical="center" indent="1"/>
    </xf>
    <xf numFmtId="0" fontId="7" fillId="5" borderId="0" applyAlignment="1" pivotButton="0" quotePrefix="0" xfId="0">
      <alignment vertical="center" wrapText="1" indent="1"/>
    </xf>
    <xf numFmtId="0" fontId="13" fillId="5" borderId="0" applyAlignment="1" pivotButton="0" quotePrefix="0" xfId="0">
      <alignment horizontal="left" vertical="center" indent="1"/>
    </xf>
    <xf numFmtId="0" fontId="14" fillId="6" borderId="3" applyAlignment="1" pivotButton="0" quotePrefix="0" xfId="0">
      <alignment vertical="center" wrapText="1" indent="1"/>
    </xf>
    <xf numFmtId="0" fontId="15" fillId="3" borderId="0" applyAlignment="1" pivotButton="0" quotePrefix="0" xfId="0">
      <alignment vertical="center"/>
    </xf>
    <xf numFmtId="0" fontId="16" fillId="3" borderId="0" applyAlignment="1" pivotButton="0" quotePrefix="0" xfId="0">
      <alignment horizontal="center" vertical="center"/>
    </xf>
    <xf numFmtId="0" fontId="7" fillId="2" borderId="0" applyAlignment="1" pivotButton="0" quotePrefix="0" xfId="0">
      <alignment vertical="top" wrapText="1"/>
    </xf>
    <xf numFmtId="0" fontId="10" fillId="5" borderId="2" applyAlignment="1" pivotButton="0" quotePrefix="0" xfId="0">
      <alignment vertical="center" indent="1"/>
    </xf>
    <xf numFmtId="0" fontId="0" fillId="5" borderId="2" pivotButton="0" quotePrefix="0" xfId="0"/>
    <xf numFmtId="0" fontId="0" fillId="5" borderId="0" pivotButton="0" quotePrefix="0" xfId="0"/>
    <xf numFmtId="0" fontId="12" fillId="5" borderId="0" applyAlignment="1" pivotButton="0" quotePrefix="0" xfId="0">
      <alignment horizontal="center" vertical="center" wrapText="1"/>
    </xf>
    <xf numFmtId="0" fontId="1" fillId="2" borderId="8" applyAlignment="1" pivotButton="0" quotePrefix="0" xfId="0">
      <alignment vertical="center" wrapText="1"/>
    </xf>
    <xf numFmtId="0" fontId="2" fillId="7" borderId="10" applyAlignment="1" applyProtection="1" pivotButton="0" quotePrefix="0" xfId="0">
      <alignment vertical="top" wrapText="1"/>
      <protection locked="0" hidden="0"/>
    </xf>
    <xf numFmtId="0" fontId="2" fillId="7" borderId="9" applyAlignment="1" applyProtection="1" pivotButton="0" quotePrefix="0" xfId="0">
      <alignment vertical="top" wrapText="1"/>
      <protection locked="0" hidden="0"/>
    </xf>
    <xf numFmtId="164" fontId="2" fillId="7" borderId="10" applyAlignment="1" applyProtection="1" pivotButton="0" quotePrefix="0" xfId="0">
      <alignment vertical="top" wrapText="1"/>
      <protection locked="0" hidden="0"/>
    </xf>
    <xf numFmtId="1" fontId="2" fillId="7" borderId="10" applyAlignment="1" applyProtection="1" pivotButton="0" quotePrefix="0" xfId="0">
      <alignment vertical="top" wrapText="1"/>
      <protection locked="0" hidden="0"/>
    </xf>
    <xf numFmtId="0" fontId="0" fillId="2" borderId="0" applyProtection="1" pivotButton="0" quotePrefix="0" xfId="0">
      <protection locked="0" hidden="0"/>
    </xf>
    <xf numFmtId="0" fontId="1" fillId="5" borderId="11" applyAlignment="1" pivotButton="0" quotePrefix="0" xfId="0">
      <alignment vertical="center" wrapText="1" indent="1"/>
    </xf>
    <xf numFmtId="0" fontId="8" fillId="5" borderId="12" applyAlignment="1" pivotButton="0" quotePrefix="0" xfId="0">
      <alignment vertical="center" indent="1"/>
    </xf>
    <xf numFmtId="0" fontId="17" fillId="5" borderId="12" applyAlignment="1" pivotButton="0" quotePrefix="0" xfId="0">
      <alignment vertical="center" indent="1"/>
    </xf>
    <xf numFmtId="0" fontId="0" fillId="0" borderId="12" pivotButton="0" quotePrefix="0" xfId="0"/>
    <xf numFmtId="0" fontId="18" fillId="5" borderId="12" applyAlignment="1" pivotButton="0" quotePrefix="0" xfId="0">
      <alignment vertical="center" indent="1"/>
    </xf>
    <xf numFmtId="0" fontId="2" fillId="5" borderId="9" applyAlignment="1" pivotButton="0" quotePrefix="0" xfId="0">
      <alignment vertical="top" wrapText="1"/>
    </xf>
    <xf numFmtId="0" fontId="10" fillId="5" borderId="4" applyAlignment="1" pivotButton="0" quotePrefix="0" xfId="0">
      <alignment vertical="center" indent="1"/>
    </xf>
    <xf numFmtId="0" fontId="0" fillId="5" borderId="4" pivotButton="0" quotePrefix="0" xfId="0"/>
    <xf numFmtId="0" fontId="10" fillId="5" borderId="5" applyAlignment="1" pivotButton="0" quotePrefix="0" xfId="0">
      <alignment vertical="center" indent="1"/>
    </xf>
    <xf numFmtId="0" fontId="0" fillId="5" borderId="5" pivotButton="0" quotePrefix="0" xfId="0"/>
    <xf numFmtId="0" fontId="10" fillId="5" borderId="13" applyAlignment="1" pivotButton="0" quotePrefix="0" xfId="0">
      <alignment vertical="center" indent="1"/>
    </xf>
    <xf numFmtId="0" fontId="0" fillId="5" borderId="13" pivotButton="0" quotePrefix="0" xfId="0"/>
    <xf numFmtId="0" fontId="10" fillId="5" borderId="6" applyAlignment="1" pivotButton="0" quotePrefix="0" xfId="0">
      <alignment vertical="center" indent="1"/>
    </xf>
    <xf numFmtId="0" fontId="0" fillId="5" borderId="6" pivotButton="0" quotePrefix="0" xfId="0"/>
    <xf numFmtId="0" fontId="19" fillId="8" borderId="2" applyAlignment="1" pivotButton="0" quotePrefix="0" xfId="0">
      <alignment vertical="center" wrapText="1" indent="1"/>
    </xf>
    <xf numFmtId="0" fontId="20" fillId="7" borderId="13" applyAlignment="1" pivotButton="0" quotePrefix="0" xfId="0">
      <alignment vertical="center" wrapText="1" indent="1"/>
    </xf>
    <xf numFmtId="0" fontId="1" fillId="2" borderId="0" pivotButton="0" quotePrefix="0" xfId="0"/>
    <xf numFmtId="0" fontId="2" fillId="2" borderId="0" pivotButton="0" quotePrefix="0" xfId="0"/>
    <xf numFmtId="0" fontId="21" fillId="5" borderId="14" applyAlignment="1" pivotButton="0" quotePrefix="0" xfId="0">
      <alignment vertical="center" wrapText="1" indent="1"/>
    </xf>
    <xf numFmtId="0" fontId="22" fillId="6" borderId="3" applyAlignment="1" pivotButton="0" quotePrefix="0" xfId="0">
      <alignment vertical="center" wrapText="1" indent="1"/>
    </xf>
  </cellXfs>
  <cellStyles count="1">
    <cellStyle name="Normal" xfId="0" builtinId="0" hidden="0"/>
  </cellStyles>
  <dxfs count="3">
    <dxf>
      <font>
        <name val="Aptos"/>
        <b val="1"/>
        <color rgb="00B83A4B"/>
        <sz val="9"/>
      </font>
      <fill>
        <patternFill patternType="solid">
          <fgColor rgb="00FBE4E8"/>
        </patternFill>
      </fill>
    </dxf>
    <dxf>
      <font>
        <name val="Aptos"/>
        <b val="1"/>
        <color rgb="00B7791F"/>
        <sz val="9"/>
      </font>
      <fill>
        <patternFill patternType="solid">
          <fgColor rgb="00FFF1D6"/>
        </patternFill>
      </fill>
    </dxf>
    <dxf>
      <font>
        <name val="Aptos"/>
        <b val="1"/>
        <color rgb="0018794E"/>
        <sz val="9"/>
      </font>
      <fill>
        <patternFill patternType="solid">
          <fgColor rgb="00DDF3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ables/table1.xml><?xml version="1.0" encoding="utf-8"?>
<table xmlns="http://schemas.openxmlformats.org/spreadsheetml/2006/main" id="1" name="tblControlSettings" displayName="tblControlSettings" ref="B16:E24" headerRowCount="1">
  <autoFilter ref="B16:E24"/>
  <tableColumns count="4">
    <tableColumn id="2" name="Setting"/>
    <tableColumn id="3" name="Value"/>
    <tableColumn id="4" name="Purpose"/>
    <tableColumn id="5" name="Control state"/>
  </tableColumns>
</table>
</file>

<file path=xl/tables/table2.xml><?xml version="1.0" encoding="utf-8"?>
<table xmlns="http://schemas.openxmlformats.org/spreadsheetml/2006/main" id="2" name="tblDQChecks" displayName="tblDQChecks" ref="B18:I28" headerRowCount="1">
  <autoFilter ref="B18:I28"/>
  <tableColumns count="8">
    <tableColumn id="2" name="CheckKey"/>
    <tableColumn id="3" name="Check"/>
    <tableColumn id="4" name="Domain"/>
    <tableColumn id="5" name="Requirement"/>
    <tableColumn id="6" name="Status"/>
    <tableColumn id="7" name="IssueCount"/>
    <tableColumn id="8" name="Owner"/>
    <tableColumn id="9" name="NextAction"/>
  </tableColumns>
</table>
</file>

<file path=xl/tables/table3.xml><?xml version="1.0" encoding="utf-8"?>
<table xmlns="http://schemas.openxmlformats.org/spreadsheetml/2006/main" id="3" name="tblRefreshAudit" displayName="tblRefreshAudit" ref="B17:L18" headerRowCount="1">
  <autoFilter ref="B17:L18"/>
  <tableColumns count="11">
    <tableColumn id="2" name="RunKey"/>
    <tableColumn id="3" name="Profile"/>
    <tableColumn id="4" name="Mode"/>
    <tableColumn id="5" name="StartedAt"/>
    <tableColumn id="6" name="CompletedAt"/>
    <tableColumn id="7" name="Status"/>
    <tableColumn id="8" name="SourceFiles"/>
    <tableColumn id="9" name="RowsRead"/>
    <tableColumn id="10" name="RowsQuarantined"/>
    <tableColumn id="11" name="ReconciliationStatus"/>
    <tableColumn id="12" name="InitiatedBy"/>
  </tableColumns>
</table>
</file>

<file path=xl/tables/table4.xml><?xml version="1.0" encoding="utf-8"?>
<table xmlns="http://schemas.openxmlformats.org/spreadsheetml/2006/main" id="4" name="tblStrategicPlan" displayName="tblStrategicPlan" ref="B33:I34" headerRowCount="1">
  <autoFilter ref="B33:I34"/>
  <tableColumns count="8">
    <tableColumn id="2" name="Period"/>
    <tableColumn id="3" name="Activity"/>
    <tableColumn id="4" name="Scenario"/>
    <tableColumn id="5" name="Demand"/>
    <tableColumn id="6" name="Required FTE"/>
    <tableColumn id="7" name="Funded FTE"/>
    <tableColumn id="8" name="Gap FTE"/>
    <tableColumn id="9" name="Decision status"/>
  </tableColumns>
</table>
</file>

<file path=xl/tables/table5.xml><?xml version="1.0" encoding="utf-8"?>
<table xmlns="http://schemas.openxmlformats.org/spreadsheetml/2006/main" id="5" name="tblDemandPlan" displayName="tblDemandPlan" ref="B33:I34" headerRowCount="1">
  <autoFilter ref="B33:I34"/>
  <tableColumns count="8">
    <tableColumn id="2" name="Period"/>
    <tableColumn id="3" name="Activity"/>
    <tableColumn id="4" name="Channel"/>
    <tableColumn id="5" name="Baseline volume"/>
    <tableColumn id="6" name="Event impact"/>
    <tableColumn id="7" name="Planned volume"/>
    <tableColumn id="8" name="AHT seconds"/>
    <tableColumn id="9" name="Status"/>
  </tableColumns>
</table>
</file>

<file path=xl/tables/table6.xml><?xml version="1.0" encoding="utf-8"?>
<table xmlns="http://schemas.openxmlformats.org/spreadsheetml/2006/main" id="6" name="tblForecast" displayName="tblForecast" ref="B33:I34" headerRowCount="1">
  <autoFilter ref="B33:I34"/>
  <tableColumns count="8">
    <tableColumn id="2" name="Version"/>
    <tableColumn id="3" name="Activity"/>
    <tableColumn id="4" name="Channel"/>
    <tableColumn id="5" name="Start"/>
    <tableColumn id="6" name="End"/>
    <tableColumn id="7" name="Volume"/>
    <tableColumn id="8" name="AHT seconds"/>
    <tableColumn id="9" name="Approval status"/>
  </tableColumns>
</table>
</file>

<file path=xl/tables/table7.xml><?xml version="1.0" encoding="utf-8"?>
<table xmlns="http://schemas.openxmlformats.org/spreadsheetml/2006/main" id="7" name="tblForecastAccuracy" displayName="tblForecastAccuracy" ref="B33:I34" headerRowCount="1">
  <autoFilter ref="B33:I34"/>
  <tableColumns count="8">
    <tableColumn id="2" name="Period"/>
    <tableColumn id="3" name="Activity"/>
    <tableColumn id="4" name="Channel"/>
    <tableColumn id="5" name="Actual"/>
    <tableColumn id="6" name="Forecast"/>
    <tableColumn id="7" name="Absolute error"/>
    <tableColumn id="8" name="Bias"/>
    <tableColumn id="9" name="Root-cause status"/>
  </tableColumns>
</table>
</file>

<file path=xl/tables/table8.xml><?xml version="1.0" encoding="utf-8"?>
<table xmlns="http://schemas.openxmlformats.org/spreadsheetml/2006/main" id="8" name="tblCapacityPlan" displayName="tblCapacityPlan" ref="B33:I34" headerRowCount="1">
  <autoFilter ref="B33:I34"/>
  <tableColumns count="8">
    <tableColumn id="2" name="Period"/>
    <tableColumn id="3" name="Activity"/>
    <tableColumn id="4" name="Scenario"/>
    <tableColumn id="5" name="Required FTE"/>
    <tableColumn id="6" name="Available FTE"/>
    <tableColumn id="7" name="Gap FTE"/>
    <tableColumn id="8" name="Risk"/>
    <tableColumn id="9" name="Decision owner"/>
  </tableColumns>
</table>
</file>

<file path=xl/tables/table9.xml><?xml version="1.0" encoding="utf-8"?>
<table xmlns="http://schemas.openxmlformats.org/spreadsheetml/2006/main" id="9" name="tblHiringPlan" displayName="tblHiringPlan" ref="B33:I34" headerRowCount="1">
  <autoFilter ref="B33:I34"/>
  <tableColumns count="8">
    <tableColumn id="2" name="Wave"/>
    <tableColumn id="3" name="Activity"/>
    <tableColumn id="4" name="Recruitment start"/>
    <tableColumn id="5" name="Training start"/>
    <tableColumn id="6" name="Proficiency date"/>
    <tableColumn id="7" name="Planned heads"/>
    <tableColumn id="8" name="Expected yield"/>
    <tableColumn id="9" name="Status"/>
  </tableColumns>
</table>
</file>

<file path=xl/tables/table10.xml><?xml version="1.0" encoding="utf-8"?>
<table xmlns="http://schemas.openxmlformats.org/spreadsheetml/2006/main" id="10" name="tblScheduleDesign" displayName="tblScheduleDesign" ref="B33:I34" headerRowCount="1">
  <autoFilter ref="B33:I34"/>
  <tableColumns count="8">
    <tableColumn id="2" name="Pattern"/>
    <tableColumn id="3" name="Activity"/>
    <tableColumn id="4" name="Site"/>
    <tableColumn id="5" name="Start"/>
    <tableColumn id="6" name="End"/>
    <tableColumn id="7" name="Paid hours"/>
    <tableColumn id="8" name="Coverage contribution"/>
    <tableColumn id="9" name="Status"/>
  </tableColumns>
</table>
</file>

<file path=xl/tables/table11.xml><?xml version="1.0" encoding="utf-8"?>
<table xmlns="http://schemas.openxmlformats.org/spreadsheetml/2006/main" id="11" name="tblLeavePlan" displayName="tblLeavePlan" ref="B33:I34" headerRowCount="1">
  <autoFilter ref="B33:I34"/>
  <tableColumns count="8">
    <tableColumn id="2" name="Date"/>
    <tableColumn id="3" name="Activity"/>
    <tableColumn id="4" name="Allowance hours"/>
    <tableColumn id="5" name="Requested hours"/>
    <tableColumn id="6" name="Approved hours"/>
    <tableColumn id="7" name="Remaining hours"/>
    <tableColumn id="8" name="Impact"/>
    <tableColumn id="9" name="Status"/>
  </tableColumns>
</table>
</file>

<file path=xl/tables/table12.xml><?xml version="1.0" encoding="utf-8"?>
<table xmlns="http://schemas.openxmlformats.org/spreadsheetml/2006/main" id="12" name="tblIntraday" displayName="tblIntraday" ref="B33:I34" headerRowCount="1">
  <autoFilter ref="B33:I34"/>
  <tableColumns count="8">
    <tableColumn id="2" name="Interval"/>
    <tableColumn id="3" name="Activity"/>
    <tableColumn id="4" name="Channel"/>
    <tableColumn id="5" name="Forecast"/>
    <tableColumn id="6" name="Actual"/>
    <tableColumn id="7" name="Required FTE"/>
    <tableColumn id="8" name="Present FTE"/>
    <tableColumn id="9" name="Action status"/>
  </tableColumns>
</table>
</file>

<file path=xl/tables/table13.xml><?xml version="1.0" encoding="utf-8"?>
<table xmlns="http://schemas.openxmlformats.org/spreadsheetml/2006/main" id="13" name="tblAttendance" displayName="tblAttendance" ref="B33:I34" headerRowCount="1">
  <autoFilter ref="B33:I34"/>
  <tableColumns count="8">
    <tableColumn id="2" name="Case key"/>
    <tableColumn id="3" name="Business date"/>
    <tableColumn id="4" name="Agent key"/>
    <tableColumn id="5" name="Exception"/>
    <tableColumn id="6" name="Minutes"/>
    <tableColumn id="7" name="Evidence status"/>
    <tableColumn id="8" name="Owner"/>
    <tableColumn id="9" name="Decision"/>
  </tableColumns>
</table>
</file>

<file path=xl/tables/table14.xml><?xml version="1.0" encoding="utf-8"?>
<table xmlns="http://schemas.openxmlformats.org/spreadsheetml/2006/main" id="14" name="tblAdherence" displayName="tblAdherence" ref="B33:I34" headerRowCount="1">
  <autoFilter ref="B33:I34"/>
  <tableColumns count="8">
    <tableColumn id="2" name="Business date"/>
    <tableColumn id="3" name="Agent key"/>
    <tableColumn id="4" name="Scheduled activity"/>
    <tableColumn id="5" name="Actual activity"/>
    <tableColumn id="6" name="Minutes"/>
    <tableColumn id="7" name="Tolerance"/>
    <tableColumn id="8" name="Owner"/>
    <tableColumn id="9" name="Status"/>
  </tableColumns>
</table>
</file>

<file path=xl/tables/table15.xml><?xml version="1.0" encoding="utf-8"?>
<table xmlns="http://schemas.openxmlformats.org/spreadsheetml/2006/main" id="15" name="tblActionLog" displayName="tblActionLog" ref="B33:I34" headerRowCount="1">
  <autoFilter ref="B33:I34"/>
  <tableColumns count="8">
    <tableColumn id="2" name="Action key"/>
    <tableColumn id="3" name="Opened at"/>
    <tableColumn id="4" name="Module"/>
    <tableColumn id="5" name="Severity"/>
    <tableColumn id="6" name="Action"/>
    <tableColumn id="7" name="Owner"/>
    <tableColumn id="8" name="Due at"/>
    <tableColumn id="9" name="Status"/>
  </tableColumns>
</table>
</file>

<file path=xl/tables/table16.xml><?xml version="1.0" encoding="utf-8"?>
<table xmlns="http://schemas.openxmlformats.org/spreadsheetml/2006/main" id="16" name="tblPerformance" displayName="tblPerformance" ref="B33:I34" headerRowCount="1">
  <autoFilter ref="B33:I34"/>
  <tableColumns count="8">
    <tableColumn id="2" name="Period"/>
    <tableColumn id="3" name="Activity"/>
    <tableColumn id="4" name="Team"/>
    <tableColumn id="5" name="Metric"/>
    <tableColumn id="6" name="Actual"/>
    <tableColumn id="7" name="Target"/>
    <tableColumn id="8" name="Variance"/>
    <tableColumn id="9" name="Action status"/>
  </tableColumns>
</table>
</file>

<file path=xl/tables/table17.xml><?xml version="1.0" encoding="utf-8"?>
<table xmlns="http://schemas.openxmlformats.org/spreadsheetml/2006/main" id="17" name="tblExecutive" displayName="tblExecutive" ref="B33:I34" headerRowCount="1">
  <autoFilter ref="B33:I34"/>
  <tableColumns count="8">
    <tableColumn id="2" name="Period"/>
    <tableColumn id="3" name="Dimension"/>
    <tableColumn id="4" name="Measure"/>
    <tableColumn id="5" name="Actual"/>
    <tableColumn id="6" name="Target"/>
    <tableColumn id="7" name="Trend"/>
    <tableColumn id="8" name="Risk"/>
    <tableColumn id="9" name="Executive decision"/>
  </tableColumns>
</table>
</file>

<file path=xl/tables/table18.xml><?xml version="1.0" encoding="utf-8"?>
<table xmlns="http://schemas.openxmlformats.org/spreadsheetml/2006/main" id="18" name="tblBonusControl" displayName="tblBonusControl" ref="B33:I34" headerRowCount="1">
  <autoFilter ref="B33:I34"/>
  <tableColumns count="8">
    <tableColumn id="2" name="Run key"/>
    <tableColumn id="3" name="Period"/>
    <tableColumn id="4" name="Policy version"/>
    <tableColumn id="5" name="Population"/>
    <tableColumn id="6" name="Currency"/>
    <tableColumn id="7" name="Proposed payout"/>
    <tableColumn id="8" name="Control status"/>
    <tableColumn id="9" name="Approval status"/>
  </tableColumns>
</table>
</file>

<file path=xl/tables/table19.xml><?xml version="1.0" encoding="utf-8"?>
<table xmlns="http://schemas.openxmlformats.org/spreadsheetml/2006/main" id="19" name="tblParameters" displayName="tblParameters" ref="B13:E18" headerRowCount="1">
  <autoFilter ref="B13:E18"/>
  <tableColumns count="4">
    <tableColumn id="2" name="Parameter"/>
    <tableColumn id="3" name="Value"/>
    <tableColumn id="4" name="DataType"/>
    <tableColumn id="5" name="Description"/>
  </tableColumns>
</table>
</file>

<file path=xl/tables/table20.xml><?xml version="1.0" encoding="utf-8"?>
<table xmlns="http://schemas.openxmlformats.org/spreadsheetml/2006/main" id="20" name="tblSourceSystems" displayName="tblSourceSystems" ref="B13:L23" headerRowCount="1">
  <autoFilter ref="B13:L23"/>
  <tableColumns count="11">
    <tableColumn id="2" name="Profile"/>
    <tableColumn id="3" name="SystemKey"/>
    <tableColumn id="4" name="SourceRole"/>
    <tableColumn id="5" name="Adapter"/>
    <tableColumn id="6" name="RelativePath"/>
    <tableColumn id="7" name="FilePattern"/>
    <tableColumn id="8" name="Format"/>
    <tableColumn id="9" name="Delimiter"/>
    <tableColumn id="10" name="Encoding"/>
    <tableColumn id="11" name="Culture"/>
    <tableColumn id="12" name="Enabled"/>
  </tableColumns>
</table>
</file>

<file path=xl/tables/table21.xml><?xml version="1.0" encoding="utf-8"?>
<table xmlns="http://schemas.openxmlformats.org/spreadsheetml/2006/main" id="21" name="tblFieldMapping" displayName="tblFieldMapping" ref="B13:I71" headerRowCount="1">
  <autoFilter ref="B13:I71"/>
  <tableColumns count="8">
    <tableColumn id="2" name="Profile"/>
    <tableColumn id="3" name="Adapter"/>
    <tableColumn id="4" name="Entity"/>
    <tableColumn id="5" name="SourceField"/>
    <tableColumn id="6" name="CanonicalField"/>
    <tableColumn id="7" name="DataType"/>
    <tableColumn id="8" name="Required"/>
    <tableColumn id="9" name="Enabled"/>
  </tableColumns>
</table>
</file>

<file path=xl/tables/table22.xml><?xml version="1.0" encoding="utf-8"?>
<table xmlns="http://schemas.openxmlformats.org/spreadsheetml/2006/main" id="22" name="tblValueMapping" displayName="tblValueMapping" ref="B13:I14" headerRowCount="1">
  <autoFilter ref="B13:I14"/>
  <tableColumns count="8">
    <tableColumn id="2" name="Profile"/>
    <tableColumn id="3" name="SystemKey"/>
    <tableColumn id="4" name="Domain"/>
    <tableColumn id="5" name="SourceValue"/>
    <tableColumn id="6" name="CanonicalValue"/>
    <tableColumn id="7" name="ValidFrom"/>
    <tableColumn id="8" name="ValidTo"/>
    <tableColumn id="9" name="Enabled"/>
  </tableColumns>
</table>
</file>

<file path=xl/tables/table23.xml><?xml version="1.0" encoding="utf-8"?>
<table xmlns="http://schemas.openxmlformats.org/spreadsheetml/2006/main" id="23" name="tblPeople" displayName="tblPeople" ref="B13:N14" headerRowCount="1">
  <autoFilter ref="B13:N14"/>
  <tableColumns count="13">
    <tableColumn id="2" name="Profile"/>
    <tableColumn id="3" name="AgentKey"/>
    <tableColumn id="4" name="EmployeeBusinessID"/>
    <tableColumn id="5" name="DisplayName"/>
    <tableColumn id="6" name="ActivityKey"/>
    <tableColumn id="7" name="TeamKey"/>
    <tableColumn id="8" name="ManagerKey"/>
    <tableColumn id="9" name="SiteKey"/>
    <tableColumn id="10" name="ContractHours"/>
    <tableColumn id="11" name="ValidFrom"/>
    <tableColumn id="12" name="ValidTo"/>
    <tableColumn id="13" name="EmploymentStatus"/>
    <tableColumn id="14" name="Enabled"/>
  </tableColumns>
</table>
</file>

<file path=xl/tables/table24.xml><?xml version="1.0" encoding="utf-8"?>
<table xmlns="http://schemas.openxmlformats.org/spreadsheetml/2006/main" id="24" name="tblIdentityMapping" displayName="tblIdentityMapping" ref="B13:H14" headerRowCount="1">
  <autoFilter ref="B13:H14"/>
  <tableColumns count="7">
    <tableColumn id="2" name="Profile"/>
    <tableColumn id="3" name="SystemKey"/>
    <tableColumn id="4" name="ExternalAgentID"/>
    <tableColumn id="5" name="AgentKey"/>
    <tableColumn id="6" name="ValidFrom"/>
    <tableColumn id="7" name="ValidTo"/>
    <tableColumn id="8" name="Enabled"/>
  </tableColumns>
</table>
</file>

<file path=xl/tables/table25.xml><?xml version="1.0" encoding="utf-8"?>
<table xmlns="http://schemas.openxmlformats.org/spreadsheetml/2006/main" id="25" name="tblActivities" displayName="tblActivities" ref="B13:I14" headerRowCount="1">
  <autoFilter ref="B13:I14"/>
  <tableColumns count="8">
    <tableColumn id="2" name="Profile"/>
    <tableColumn id="3" name="ActivityKey"/>
    <tableColumn id="4" name="ActivityName"/>
    <tableColumn id="5" name="ChannelKey"/>
    <tableColumn id="6" name="Timezone"/>
    <tableColumn id="7" name="ValidFrom"/>
    <tableColumn id="8" name="ValidTo"/>
    <tableColumn id="9" name="Enabled"/>
  </tableColumns>
</table>
</file>

<file path=xl/tables/table26.xml><?xml version="1.0" encoding="utf-8"?>
<table xmlns="http://schemas.openxmlformats.org/spreadsheetml/2006/main" id="26" name="tblQueueMapping" displayName="tblQueueMapping" ref="B13:K14" headerRowCount="1">
  <autoFilter ref="B13:K14"/>
  <tableColumns count="10">
    <tableColumn id="2" name="Profile"/>
    <tableColumn id="3" name="SystemKey"/>
    <tableColumn id="4" name="SourceQueueID"/>
    <tableColumn id="5" name="QueueKey"/>
    <tableColumn id="6" name="QueueName"/>
    <tableColumn id="7" name="ActivityKey"/>
    <tableColumn id="8" name="ChannelKey"/>
    <tableColumn id="9" name="ValidFrom"/>
    <tableColumn id="10" name="ValidTo"/>
    <tableColumn id="11" name="Enabled"/>
  </tableColumns>
</table>
</file>

<file path=xl/tables/table27.xml><?xml version="1.0" encoding="utf-8"?>
<table xmlns="http://schemas.openxmlformats.org/spreadsheetml/2006/main" id="27" name="tblStateMapping" displayName="tblStateMapping" ref="B13:L14" headerRowCount="1">
  <autoFilter ref="B13:L14"/>
  <tableColumns count="11">
    <tableColumn id="2" name="Profile"/>
    <tableColumn id="3" name="SystemKey"/>
    <tableColumn id="4" name="SourceStateID"/>
    <tableColumn id="5" name="StateKey"/>
    <tableColumn id="6" name="StateName"/>
    <tableColumn id="7" name="AdherenceClass"/>
    <tableColumn id="8" name="PresentFlag"/>
    <tableColumn id="9" name="ProductiveFlag"/>
    <tableColumn id="10" name="ValidFrom"/>
    <tableColumn id="11" name="ValidTo"/>
    <tableColumn id="12" name="Enabled"/>
  </tableColumns>
</table>
</file>

<file path=xl/tables/table28.xml><?xml version="1.0" encoding="utf-8"?>
<table xmlns="http://schemas.openxmlformats.org/spreadsheetml/2006/main" id="28" name="tblTargets" displayName="tblTargets" ref="B13:K14" headerRowCount="1">
  <autoFilter ref="B13:K14"/>
  <tableColumns count="10">
    <tableColumn id="2" name="TargetKey"/>
    <tableColumn id="3" name="MetricKey"/>
    <tableColumn id="4" name="ActivityKey"/>
    <tableColumn id="5" name="Channel"/>
    <tableColumn id="6" name="TargetValue"/>
    <tableColumn id="7" name="Unit"/>
    <tableColumn id="8" name="ValidFrom"/>
    <tableColumn id="9" name="ValidTo"/>
    <tableColumn id="10" name="Approved"/>
    <tableColumn id="11" name="Owner"/>
  </tableColumns>
</table>
</file>

<file path=xl/tables/table29.xml><?xml version="1.0" encoding="utf-8"?>
<table xmlns="http://schemas.openxmlformats.org/spreadsheetml/2006/main" id="29" name="tblCalendarEvents" displayName="tblCalendarEvents" ref="B13:N14" headerRowCount="1">
  <autoFilter ref="B13:N14"/>
  <tableColumns count="13">
    <tableColumn id="2" name="Profile"/>
    <tableColumn id="3" name="EventKey"/>
    <tableColumn id="4" name="EventName"/>
    <tableColumn id="5" name="EventType"/>
    <tableColumn id="6" name="ActivityKey"/>
    <tableColumn id="7" name="ChannelKey"/>
    <tableColumn id="8" name="StartAt"/>
    <tableColumn id="9" name="EndAt"/>
    <tableColumn id="10" name="ImpactType"/>
    <tableColumn id="11" name="ImpactValue"/>
    <tableColumn id="12" name="Approved"/>
    <tableColumn id="13" name="Owner"/>
    <tableColumn id="14" name="Notes"/>
  </tableColumns>
</table>
</file>

<file path=xl/tables/table30.xml><?xml version="1.0" encoding="utf-8"?>
<table xmlns="http://schemas.openxmlformats.org/spreadsheetml/2006/main" id="30" name="tblShiftRules" displayName="tblShiftRules" ref="B13:K14" headerRowCount="1">
  <autoFilter ref="B13:K14"/>
  <tableColumns count="10">
    <tableColumn id="2" name="RuleKey"/>
    <tableColumn id="3" name="RuleType"/>
    <tableColumn id="4" name="ScopeKey"/>
    <tableColumn id="5" name="Value"/>
    <tableColumn id="6" name="Unit"/>
    <tableColumn id="7" name="ValidFrom"/>
    <tableColumn id="8" name="ValidTo"/>
    <tableColumn id="9" name="Enabled"/>
    <tableColumn id="10" name="Owner"/>
    <tableColumn id="11" name="Notes"/>
  </tableColumns>
</table>
</file>

<file path=xl/tables/table31.xml><?xml version="1.0" encoding="utf-8"?>
<table xmlns="http://schemas.openxmlformats.org/spreadsheetml/2006/main" id="31" name="tblMetricRules" displayName="tblMetricRules" ref="B13:I17" headerRowCount="1">
  <autoFilter ref="B13:I17"/>
  <tableColumns count="8">
    <tableColumn id="2" name="Profile"/>
    <tableColumn id="3" name="MetricKey"/>
    <tableColumn id="4" name="RuleName"/>
    <tableColumn id="5" name="Value"/>
    <tableColumn id="6" name="Unit"/>
    <tableColumn id="7" name="ValidFrom"/>
    <tableColumn id="8" name="ValidTo"/>
    <tableColumn id="9" name="Approved"/>
  </tableColumns>
</table>
</file>

<file path=xl/tables/table32.xml><?xml version="1.0" encoding="utf-8"?>
<table xmlns="http://schemas.openxmlformats.org/spreadsheetml/2006/main" id="32" name="tblForecastPolicies" displayName="tblForecastPolicies" ref="B13:O14" headerRowCount="1">
  <autoFilter ref="B13:O14"/>
  <tableColumns count="14">
    <tableColumn id="2" name="Profile"/>
    <tableColumn id="3" name="PolicyKey"/>
    <tableColumn id="4" name="ActivityKey"/>
    <tableColumn id="5" name="ChannelKey"/>
    <tableColumn id="6" name="IntradayProfileKey"/>
    <tableColumn id="7" name="Method"/>
    <tableColumn id="8" name="Frequency"/>
    <tableColumn id="9" name="HistoryPeriods"/>
    <tableColumn id="10" name="HorizonPeriods"/>
    <tableColumn id="11" name="SeasonLength"/>
    <tableColumn id="12" name="MinimumHistory"/>
    <tableColumn id="13" name="ValidFrom"/>
    <tableColumn id="14" name="ValidTo"/>
    <tableColumn id="15" name="Approved"/>
  </tableColumns>
</table>
</file>

<file path=xl/tables/table33.xml><?xml version="1.0" encoding="utf-8"?>
<table xmlns="http://schemas.openxmlformats.org/spreadsheetml/2006/main" id="33" name="tblCapacityPolicies" displayName="tblCapacityPolicies" ref="B13:P15" headerRowCount="1">
  <autoFilter ref="B13:P15"/>
  <tableColumns count="15">
    <tableColumn id="2" name="Profile"/>
    <tableColumn id="3" name="PolicyKey"/>
    <tableColumn id="4" name="ActivityKey"/>
    <tableColumn id="5" name="ChannelKey"/>
    <tableColumn id="6" name="Method"/>
    <tableColumn id="7" name="IntervalMinutes"/>
    <tableColumn id="8" name="TargetServiceLevel"/>
    <tableColumn id="9" name="AnswerTimeSeconds"/>
    <tableColumn id="10" name="MaxOccupancy"/>
    <tableColumn id="11" name="ShrinkagePct"/>
    <tableColumn id="12" name="Concurrency"/>
    <tableColumn id="13" name="FTEPerHead"/>
    <tableColumn id="14" name="ValidFrom"/>
    <tableColumn id="15" name="ValidTo"/>
    <tableColumn id="16" name="Approved"/>
  </tableColumns>
</table>
</file>

<file path=xl/tables/table34.xml><?xml version="1.0" encoding="utf-8"?>
<table xmlns="http://schemas.openxmlformats.org/spreadsheetml/2006/main" id="34" name="tblIntradayProfiles" displayName="tblIntradayProfiles" ref="B13:J61" headerRowCount="1">
  <autoFilter ref="B13:J61"/>
  <tableColumns count="9">
    <tableColumn id="2" name="Profile"/>
    <tableColumn id="3" name="ProfileKey"/>
    <tableColumn id="4" name="DayType"/>
    <tableColumn id="5" name="IntervalKey"/>
    <tableColumn id="6" name="VolumeWeight"/>
    <tableColumn id="7" name="AHTFactor"/>
    <tableColumn id="8" name="ValidFrom"/>
    <tableColumn id="9" name="ValidTo"/>
    <tableColumn id="10" name="Approved"/>
  </tableColumns>
</table>
</file>

<file path=xl/tables/table35.xml><?xml version="1.0" encoding="utf-8"?>
<table xmlns="http://schemas.openxmlformats.org/spreadsheetml/2006/main" id="35" name="tblHiringPolicies" displayName="tblHiringPolicies" ref="B13:N14" headerRowCount="1">
  <autoFilter ref="B13:N14"/>
  <tableColumns count="13">
    <tableColumn id="2" name="Profile"/>
    <tableColumn id="3" name="PolicyKey"/>
    <tableColumn id="4" name="ActivityKey"/>
    <tableColumn id="5" name="RecruitmentLeadDays"/>
    <tableColumn id="6" name="TrainingLeadDays"/>
    <tableColumn id="7" name="NestingLeadDays"/>
    <tableColumn id="8" name="ExpectedYield"/>
    <tableColumn id="9" name="FTEPerHead"/>
    <tableColumn id="10" name="MaxTrainingSeats"/>
    <tableColumn id="11" name="BufferPaidFTE"/>
    <tableColumn id="12" name="ValidFrom"/>
    <tableColumn id="13" name="ValidTo"/>
    <tableColumn id="14" name="Approved"/>
  </tableColumns>
</table>
</file>

<file path=xl/tables/table36.xml><?xml version="1.0" encoding="utf-8"?>
<table xmlns="http://schemas.openxmlformats.org/spreadsheetml/2006/main" id="36" name="tblForecastOverrides" displayName="tblForecastOverrides" ref="B13:O14" headerRowCount="1">
  <autoFilter ref="B13:O14"/>
  <tableColumns count="14">
    <tableColumn id="2" name="OverrideKey"/>
    <tableColumn id="3" name="Profile"/>
    <tableColumn id="4" name="ForecastVersionKey"/>
    <tableColumn id="5" name="ActivityKey"/>
    <tableColumn id="6" name="ChannelKey"/>
    <tableColumn id="7" name="ForecastDate"/>
    <tableColumn id="8" name="ForecastVolume"/>
    <tableColumn id="9" name="ForecastAHTSeconds"/>
    <tableColumn id="10" name="Reason"/>
    <tableColumn id="11" name="RequestedBy"/>
    <tableColumn id="12" name="RequestedAt"/>
    <tableColumn id="13" name="ApprovalStatus"/>
    <tableColumn id="14" name="ApprovedBy"/>
    <tableColumn id="15" name="ApprovedAt"/>
  </tableColumns>
</table>
</file>

<file path=xl/tables/table37.xml><?xml version="1.0" encoding="utf-8"?>
<table xmlns="http://schemas.openxmlformats.org/spreadsheetml/2006/main" id="37" name="tblAttendanceDecisions" displayName="tblAttendanceDecisions" ref="B13:H14" headerRowCount="1">
  <autoFilter ref="B13:H14"/>
  <tableColumns count="7">
    <tableColumn id="2" name="CaseKey"/>
    <tableColumn id="3" name="Decision"/>
    <tableColumn id="4" name="DecisionReason"/>
    <tableColumn id="5" name="Owner"/>
    <tableColumn id="6" name="DecisionAt"/>
    <tableColumn id="7" name="EvidenceReference"/>
    <tableColumn id="8" name="Notes"/>
  </tableColumns>
</table>
</file>

<file path=xl/tables/table38.xml><?xml version="1.0" encoding="utf-8"?>
<table xmlns="http://schemas.openxmlformats.org/spreadsheetml/2006/main" id="38" name="tblActionInput" displayName="tblActionInput" ref="B13:K14" headerRowCount="1">
  <autoFilter ref="B13:K14"/>
  <tableColumns count="10">
    <tableColumn id="2" name="ActionKey"/>
    <tableColumn id="3" name="OpenedAt"/>
    <tableColumn id="4" name="Module"/>
    <tableColumn id="5" name="Severity"/>
    <tableColumn id="6" name="Action"/>
    <tableColumn id="7" name="Owner"/>
    <tableColumn id="8" name="DueAt"/>
    <tableColumn id="9" name="Status"/>
    <tableColumn id="10" name="Outcome"/>
    <tableColumn id="11" name="ClosedAt"/>
  </tableColumns>
</table>
</file>

<file path=xl/tables/table39.xml><?xml version="1.0" encoding="utf-8"?>
<table xmlns="http://schemas.openxmlformats.org/spreadsheetml/2006/main" id="39" name="tblScenarioInputs" displayName="tblScenarioInputs" ref="B13:Q14" headerRowCount="1">
  <autoFilter ref="B13:Q14"/>
  <tableColumns count="16">
    <tableColumn id="2" name="ScenarioRowKey"/>
    <tableColumn id="3" name="Profile"/>
    <tableColumn id="4" name="ScenarioKey"/>
    <tableColumn id="5" name="ScenarioName"/>
    <tableColumn id="6" name="ActivityKey"/>
    <tableColumn id="7" name="ChannelKey"/>
    <tableColumn id="8" name="StartDate"/>
    <tableColumn id="9" name="EndDate"/>
    <tableColumn id="10" name="VolumeChangePct"/>
    <tableColumn id="11" name="AHTChangePct"/>
    <tableColumn id="12" name="ShrinkageChangePct"/>
    <tableColumn id="13" name="ApprovalStatus"/>
    <tableColumn id="14" name="ApprovedAt"/>
    <tableColumn id="15" name="ApprovedBy"/>
    <tableColumn id="16" name="SourceRunKey"/>
    <tableColumn id="17" name="Notes"/>
  </tableColumns>
</table>
</file>

<file path=xl/tables/table40.xml><?xml version="1.0" encoding="utf-8"?>
<table xmlns="http://schemas.openxmlformats.org/spreadsheetml/2006/main" id="40" name="tblCloseDayInput" displayName="tblCloseDayInput" ref="B13:M14" headerRowCount="1">
  <autoFilter ref="B13:M14"/>
  <tableColumns count="12">
    <tableColumn id="2" name="CloseKey"/>
    <tableColumn id="3" name="Profile"/>
    <tableColumn id="4" name="BusinessDate"/>
    <tableColumn id="5" name="RequestedBy"/>
    <tableColumn id="6" name="RequestedAt"/>
    <tableColumn id="7" name="ApprovalStatus"/>
    <tableColumn id="8" name="ApprovedBy"/>
    <tableColumn id="9" name="ApprovedAt"/>
    <tableColumn id="10" name="SnapshotStatus"/>
    <tableColumn id="11" name="SnapshotAt"/>
    <tableColumn id="12" name="SourceRunKey"/>
    <tableColumn id="13" name="Notes"/>
  </tableColumns>
</table>
</file>

<file path=xl/tables/table41.xml><?xml version="1.0" encoding="utf-8"?>
<table xmlns="http://schemas.openxmlformats.org/spreadsheetml/2006/main" id="41" name="tblForecastVersions" displayName="tblForecastVersions" ref="B13:Q14" headerRowCount="1">
  <autoFilter ref="B13:Q14"/>
  <tableColumns count="16">
    <tableColumn id="2" name="ForecastRowKey"/>
    <tableColumn id="3" name="Profile"/>
    <tableColumn id="4" name="ForecastVersionKey"/>
    <tableColumn id="5" name="ApprovalStatus"/>
    <tableColumn id="6" name="Scenario"/>
    <tableColumn id="7" name="Method"/>
    <tableColumn id="8" name="ActivityKey"/>
    <tableColumn id="9" name="ChannelKey"/>
    <tableColumn id="10" name="IntervalStart"/>
    <tableColumn id="11" name="ForecastVolume"/>
    <tableColumn id="12" name="ForecastAHTSeconds"/>
    <tableColumn id="13" name="CreatedAt"/>
    <tableColumn id="14" name="ApprovedAt"/>
    <tableColumn id="15" name="ApprovedBy"/>
    <tableColumn id="16" name="SourceRunKey"/>
    <tableColumn id="17" name="Notes"/>
  </tableColumns>
</table>
</file>

<file path=xl/tables/table42.xml><?xml version="1.0" encoding="utf-8"?>
<table xmlns="http://schemas.openxmlformats.org/spreadsheetml/2006/main" id="42" name="tblRequirementApprovals" displayName="tblRequirementApprovals" ref="B13:Q14" headerRowCount="1">
  <autoFilter ref="B13:Q14"/>
  <tableColumns count="16">
    <tableColumn id="2" name="RequirementKey"/>
    <tableColumn id="3" name="Profile"/>
    <tableColumn id="4" name="ForecastVersionKey"/>
    <tableColumn id="5" name="CapacityPolicyKey"/>
    <tableColumn id="6" name="ScenarioKey"/>
    <tableColumn id="7" name="ApprovalStatus"/>
    <tableColumn id="8" name="IntervalStart"/>
    <tableColumn id="9" name="ActivityKey"/>
    <tableColumn id="10" name="ChannelKey"/>
    <tableColumn id="11" name="RequiredFTE"/>
    <tableColumn id="12" name="PaidFTE"/>
    <tableColumn id="13" name="RequirementVersion"/>
    <tableColumn id="14" name="ApprovedAt"/>
    <tableColumn id="15" name="ApprovedBy"/>
    <tableColumn id="16" name="SourceRunKey"/>
    <tableColumn id="17" name="Notes"/>
  </tableColumns>
</table>
</file>

<file path=xl/tables/table43.xml><?xml version="1.0" encoding="utf-8"?>
<table xmlns="http://schemas.openxmlformats.org/spreadsheetml/2006/main" id="43" name="tblSupplyAssumptions" displayName="tblSupplyAssumptions" ref="B13:O14" headerRowCount="1">
  <autoFilter ref="B13:O14"/>
  <tableColumns count="14">
    <tableColumn id="2" name="SupplyRowKey"/>
    <tableColumn id="3" name="Profile"/>
    <tableColumn id="4" name="ActivityKey"/>
    <tableColumn id="5" name="PeriodStart"/>
    <tableColumn id="6" name="OpeningPaidFTE"/>
    <tableColumn id="7" name="TransfersInFTE"/>
    <tableColumn id="8" name="TransfersOutFTE"/>
    <tableColumn id="9" name="LeaversFTE"/>
    <tableColumn id="10" name="OtherChangeFTE"/>
    <tableColumn id="11" name="ApprovalStatus"/>
    <tableColumn id="12" name="ApprovedAt"/>
    <tableColumn id="13" name="ApprovedBy"/>
    <tableColumn id="14" name="SourceRunKey"/>
    <tableColumn id="15" name="Notes"/>
  </tableColumns>
</table>
</file>

<file path=xl/tables/table44.xml><?xml version="1.0" encoding="utf-8"?>
<table xmlns="http://schemas.openxmlformats.org/spreadsheetml/2006/main" id="44" name="tblSupplyPlanVersions" displayName="tblSupplyPlanVersions" ref="B13:R14" headerRowCount="1">
  <autoFilter ref="B13:R14"/>
  <tableColumns count="17">
    <tableColumn id="2" name="PlanRowKey"/>
    <tableColumn id="3" name="Profile"/>
    <tableColumn id="4" name="PlanVersionKey"/>
    <tableColumn id="5" name="ScenarioKey"/>
    <tableColumn id="6" name="PolicyKey"/>
    <tableColumn id="7" name="ApprovalStatus"/>
    <tableColumn id="8" name="PeriodStart"/>
    <tableColumn id="9" name="ActivityKey"/>
    <tableColumn id="10" name="RequiredPaidFTE"/>
    <tableColumn id="11" name="BufferPaidFTE"/>
    <tableColumn id="12" name="BaselinePaidFTE"/>
    <tableColumn id="13" name="PlannedHirePaidFTE"/>
    <tableColumn id="14" name="ProjectedPaidFTE"/>
    <tableColumn id="15" name="ResidualGapPaidFTE"/>
    <tableColumn id="16" name="ApprovedAt"/>
    <tableColumn id="17" name="ApprovedBy"/>
    <tableColumn id="18" name="SourceRunKey"/>
  </tableColumns>
</table>
</file>

<file path=xl/tables/table45.xml><?xml version="1.0" encoding="utf-8"?>
<table xmlns="http://schemas.openxmlformats.org/spreadsheetml/2006/main" id="45" name="tblHiringPlanVersions" displayName="tblHiringPlanVersions" ref="B13:R14" headerRowCount="1">
  <autoFilter ref="B13:R14"/>
  <tableColumns count="17">
    <tableColumn id="2" name="WaveKey"/>
    <tableColumn id="3" name="Profile"/>
    <tableColumn id="4" name="PlanVersionKey"/>
    <tableColumn id="5" name="ScenarioKey"/>
    <tableColumn id="6" name="PolicyKey"/>
    <tableColumn id="7" name="ApprovalStatus"/>
    <tableColumn id="8" name="ActivityKey"/>
    <tableColumn id="9" name="RecruitmentStart"/>
    <tableColumn id="10" name="TrainingStart"/>
    <tableColumn id="11" name="NestingStart"/>
    <tableColumn id="12" name="ProficiencyDate"/>
    <tableColumn id="13" name="PlannedHeads"/>
    <tableColumn id="14" name="ExpectedPaidFTE"/>
    <tableColumn id="15" name="TimingStatus"/>
    <tableColumn id="16" name="ApprovedAt"/>
    <tableColumn id="17" name="ApprovedBy"/>
    <tableColumn id="18" name="SourceRunKey"/>
  </tableColumns>
</table>
</file>

<file path=xl/tables/table46.xml><?xml version="1.0" encoding="utf-8"?>
<table xmlns="http://schemas.openxmlformats.org/spreadsheetml/2006/main" id="46" name="tblOperationalSnapshots" displayName="tblOperationalSnapshots" ref="B10:P11" headerRowCount="1">
  <autoFilter ref="B10:P11"/>
  <tableColumns count="15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  <tableColumn id="14" name="ClosedAt"/>
    <tableColumn id="15" name="ClosedBy"/>
    <tableColumn id="16" name="SourceRunKey"/>
  </tableColumns>
</table>
</file>

<file path=xl/tables/table47.xml><?xml version="1.0" encoding="utf-8"?>
<table xmlns="http://schemas.openxmlformats.org/spreadsheetml/2006/main" id="47" name="tblCloseDayReady" displayName="tblCloseDayReady" ref="B10:M11" headerRowCount="1">
  <autoFilter ref="B10:M11"/>
  <tableColumns count="12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</tableColumns>
</table>
</file>

<file path=xl/tables/table48.xml><?xml version="1.0" encoding="utf-8"?>
<table xmlns="http://schemas.openxmlformats.org/spreadsheetml/2006/main" id="48" name="tblTestHarness" displayName="tblTestHarness" ref="B6:G14" headerRowCount="1">
  <autoFilter ref="B6:G14"/>
  <tableColumns count="6">
    <tableColumn id="2" name="TestKey"/>
    <tableColumn id="3" name="Test"/>
    <tableColumn id="4" name="Domain"/>
    <tableColumn id="5" name="Expected"/>
    <tableColumn id="6" name="Status"/>
    <tableColumn id="7" name="Evidence"/>
  </tableColumns>
</table>
</file>

<file path=xl/tables/table49.xml><?xml version="1.0" encoding="utf-8"?>
<table xmlns="http://schemas.openxmlformats.org/spreadsheetml/2006/main" id="49" name="tblBuildInfo" displayName="tblBuildInfo" ref="B13:D28" headerRowCount="1">
  <autoFilter ref="B13:D28"/>
  <tableColumns count="3">
    <tableColumn id="2" name="Field"/>
    <tableColumn id="3" name="Value"/>
    <tableColumn id="4" name="Evidence / note"/>
  </tableColumns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0_STRATEGIC_PLAN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01_CONTROL_CENTER'!B2" TargetMode="External" Id="rId4" /><Relationship Type="http://schemas.openxmlformats.org/officeDocument/2006/relationships/hyperlink" Target="#'61_FIELD_MAPPING'!B2" TargetMode="External" Id="rId5" /><Relationship Type="http://schemas.openxmlformats.org/officeDocument/2006/relationships/hyperlink" Target="#'02_DATA_QUALITY'!B2" TargetMode="External" Id="rId6" /><Relationship Type="http://schemas.openxmlformats.org/officeDocument/2006/relationships/hyperlink" Target="#'99_BUILD_INFO'!B2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0_HOME'!B2" TargetMode="External" Id="rId2" /><Relationship Type="http://schemas.openxmlformats.org/officeDocument/2006/relationships/hyperlink" Target="#'02_DATA_QUALIT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1_CONTROL_CENTER'!B2" TargetMode="External" Id="rId2" /><Relationship Type="http://schemas.openxmlformats.org/officeDocument/2006/relationships/hyperlink" Target="#'03_REFRESH_AUDI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.xml" Id="rId5" /></Relationships>
</file>

<file path=xl/worksheets/_rels/sheet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2_DATA_QUALITY'!B2" TargetMode="External" Id="rId2" /><Relationship Type="http://schemas.openxmlformats.org/officeDocument/2006/relationships/hyperlink" Target="#'10_STRATEGIC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.xm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3_REFRESH_AUDIT'!B2" TargetMode="External" Id="rId2" /><Relationship Type="http://schemas.openxmlformats.org/officeDocument/2006/relationships/hyperlink" Target="#'11_DEMAND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.xml" Id="rId5" /></Relationships>
</file>

<file path=xl/worksheets/_rels/sheet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0_STRATEGIC_PLAN'!B2" TargetMode="External" Id="rId2" /><Relationship Type="http://schemas.openxmlformats.org/officeDocument/2006/relationships/hyperlink" Target="#'20_FORECAS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.xml" Id="rId5" /></Relationships>
</file>

<file path=xl/worksheets/_rels/sheet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1_DEMAND_PLAN'!B2" TargetMode="External" Id="rId2" /><Relationship Type="http://schemas.openxmlformats.org/officeDocument/2006/relationships/hyperlink" Target="#'21_FORECAST_ACCURAC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.xml" Id="rId5" /></Relationships>
</file>

<file path=xl/worksheets/_rels/sheet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0_FORECAST'!B2" TargetMode="External" Id="rId2" /><Relationship Type="http://schemas.openxmlformats.org/officeDocument/2006/relationships/hyperlink" Target="#'22_CAPACITY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7.xml" Id="rId5" /></Relationships>
</file>

<file path=xl/worksheets/_rels/sheet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1_FORECAST_ACCURACY'!B2" TargetMode="External" Id="rId2" /><Relationship Type="http://schemas.openxmlformats.org/officeDocument/2006/relationships/hyperlink" Target="#'23_HIRING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8.xml" Id="rId5" /></Relationships>
</file>

<file path=xl/worksheets/_rels/sheet1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2_CAPACITY_PLAN'!B2" TargetMode="External" Id="rId2" /><Relationship Type="http://schemas.openxmlformats.org/officeDocument/2006/relationships/hyperlink" Target="#'24_SCHEDULE_DESIG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9.xm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3_HIRING_PLAN'!B2" TargetMode="External" Id="rId2" /><Relationship Type="http://schemas.openxmlformats.org/officeDocument/2006/relationships/hyperlink" Target="#'25_LEAVE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0.xml" Id="rId5" /></Relationships>
</file>

<file path=xl/worksheets/_rels/sheet1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30_INTRA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1.xml" Id="rId5" /></Relationships>
</file>

<file path=xl/worksheets/_rels/sheet1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5_LEAVE_PLAN'!B2" TargetMode="External" Id="rId2" /><Relationship Type="http://schemas.openxmlformats.org/officeDocument/2006/relationships/hyperlink" Target="#'31_ATTEND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2.xml" Id="rId5" /></Relationships>
</file>

<file path=xl/worksheets/_rels/sheet1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0_INTRADAY'!B2" TargetMode="External" Id="rId2" /><Relationship Type="http://schemas.openxmlformats.org/officeDocument/2006/relationships/hyperlink" Target="#'32_ADHERE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3.xml" Id="rId5" /></Relationships>
</file>

<file path=xl/worksheets/_rels/sheet1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1_ATTENDANCE'!B2" TargetMode="External" Id="rId2" /><Relationship Type="http://schemas.openxmlformats.org/officeDocument/2006/relationships/hyperlink" Target="#'33_ACTION_LO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4.xml" Id="rId5" /></Relationships>
</file>

<file path=xl/worksheets/_rels/sheet1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2_ADHERENCE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5.xml" Id="rId5" /></Relationships>
</file>

<file path=xl/worksheets/_rels/sheet1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3_ACTION_LOG'!B2" TargetMode="External" Id="rId2" /><Relationship Type="http://schemas.openxmlformats.org/officeDocument/2006/relationships/hyperlink" Target="#'41_EXECUTIV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6.xml" Id="rId5" /></Relationships>
</file>

<file path=xl/worksheets/_rels/sheet1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0_PERFORMANCE'!B2" TargetMode="External" Id="rId2" /><Relationship Type="http://schemas.openxmlformats.org/officeDocument/2006/relationships/hyperlink" Target="#'42_BONUS_CONTRO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7.xml" Id="rId5" /></Relationships>
</file>

<file path=xl/worksheets/_rels/sheet1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1_EXECUTIVE'!B2" TargetMode="External" Id="rId2" /><Relationship Type="http://schemas.openxmlformats.org/officeDocument/2006/relationships/hyperlink" Target="#'59_PARAMETER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8.xml" Id="rId5" /></Relationships>
</file>

<file path=xl/worksheets/_rels/sheet2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2_BONUS_CONTROL'!B2" TargetMode="External" Id="rId2" /><Relationship Type="http://schemas.openxmlformats.org/officeDocument/2006/relationships/hyperlink" Target="#'60_SOURCE_SYSTEM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9.xml" Id="rId5" /></Relationships>
</file>

<file path=xl/worksheets/_rels/sheet2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59_PARAMETERS'!B2" TargetMode="External" Id="rId2" /><Relationship Type="http://schemas.openxmlformats.org/officeDocument/2006/relationships/hyperlink" Target="#'61_FIELD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0.xml" Id="rId5" /></Relationships>
</file>

<file path=xl/worksheets/_rels/sheet2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0_SOURCE_SYSTEMS'!B2" TargetMode="External" Id="rId2" /><Relationship Type="http://schemas.openxmlformats.org/officeDocument/2006/relationships/hyperlink" Target="#'62_VAL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1.xml" Id="rId5" /></Relationships>
</file>

<file path=xl/worksheets/_rels/sheet2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1_FIELD_MAPPING'!B2" TargetMode="External" Id="rId2" /><Relationship Type="http://schemas.openxmlformats.org/officeDocument/2006/relationships/hyperlink" Target="#'63_PEOPL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2.xml" Id="rId5" /></Relationships>
</file>

<file path=xl/worksheets/_rels/sheet2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2_VALUE_MAPPING'!B2" TargetMode="External" Id="rId2" /><Relationship Type="http://schemas.openxmlformats.org/officeDocument/2006/relationships/hyperlink" Target="#'64_IDENTITY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3.xml" Id="rId5" /></Relationships>
</file>

<file path=xl/worksheets/_rels/sheet2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3_PEOPLE'!B2" TargetMode="External" Id="rId2" /><Relationship Type="http://schemas.openxmlformats.org/officeDocument/2006/relationships/hyperlink" Target="#'65_ACTIVIT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4.xml" Id="rId5" /></Relationships>
</file>

<file path=xl/worksheets/_rels/sheet2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4_IDENTITY_MAPPING'!B2" TargetMode="External" Id="rId2" /><Relationship Type="http://schemas.openxmlformats.org/officeDocument/2006/relationships/hyperlink" Target="#'66_QUE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5.xml" Id="rId5" /></Relationships>
</file>

<file path=xl/worksheets/_rels/sheet2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5_ACTIVITIES'!B2" TargetMode="External" Id="rId2" /><Relationship Type="http://schemas.openxmlformats.org/officeDocument/2006/relationships/hyperlink" Target="#'67_STAT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6.xml" Id="rId5" /></Relationships>
</file>

<file path=xl/worksheets/_rels/sheet2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6_QUEUE_MAPPING'!B2" TargetMode="External" Id="rId2" /><Relationship Type="http://schemas.openxmlformats.org/officeDocument/2006/relationships/hyperlink" Target="#'68_TARGE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7.xml" Id="rId5" /></Relationships>
</file>

<file path=xl/worksheets/_rels/sheet2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7_STATE_MAPPING'!B2" TargetMode="External" Id="rId2" /><Relationship Type="http://schemas.openxmlformats.org/officeDocument/2006/relationships/hyperlink" Target="#'69_CALENDAR_EVEN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8.xml" Id="rId5" /></Relationships>
</file>

<file path=xl/worksheets/_rels/sheet3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8_TARGETS'!B2" TargetMode="External" Id="rId2" /><Relationship Type="http://schemas.openxmlformats.org/officeDocument/2006/relationships/hyperlink" Target="#'70_SHIFT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9.xml" Id="rId5" /></Relationships>
</file>

<file path=xl/worksheets/_rels/sheet3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9_CALENDAR_EVENTS'!B2" TargetMode="External" Id="rId2" /><Relationship Type="http://schemas.openxmlformats.org/officeDocument/2006/relationships/hyperlink" Target="#'71_METRIC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0.xml" Id="rId5" /></Relationships>
</file>

<file path=xl/worksheets/_rels/sheet3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0_SHIFT_RULES'!B2" TargetMode="External" Id="rId2" /><Relationship Type="http://schemas.openxmlformats.org/officeDocument/2006/relationships/hyperlink" Target="#'72_FORECAST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1.xml" Id="rId5" /></Relationships>
</file>

<file path=xl/worksheets/_rels/sheet3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1_METRIC_RULES'!B2" TargetMode="External" Id="rId2" /><Relationship Type="http://schemas.openxmlformats.org/officeDocument/2006/relationships/hyperlink" Target="#'73_CAPACITY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2.xml" Id="rId5" /></Relationships>
</file>

<file path=xl/worksheets/_rels/sheet3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2_FORECAST_POLICIES'!B2" TargetMode="External" Id="rId2" /><Relationship Type="http://schemas.openxmlformats.org/officeDocument/2006/relationships/hyperlink" Target="#'74_INTRADAY_PROFI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3.xml" Id="rId5" /></Relationships>
</file>

<file path=xl/worksheets/_rels/sheet3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3_CAPACITY_POLICIES'!B2" TargetMode="External" Id="rId2" /><Relationship Type="http://schemas.openxmlformats.org/officeDocument/2006/relationships/hyperlink" Target="#'75_HIRING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4.xml" Id="rId5" /></Relationships>
</file>

<file path=xl/worksheets/_rels/sheet3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4_INTRADAY_PROFILES'!B2" TargetMode="External" Id="rId2" /><Relationship Type="http://schemas.openxmlformats.org/officeDocument/2006/relationships/hyperlink" Target="#'80_FORECAST_OVERRID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5.xml" Id="rId5" /></Relationships>
</file>

<file path=xl/worksheets/_rels/sheet3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5_HIRING_POLICIES'!B2" TargetMode="External" Id="rId2" /><Relationship Type="http://schemas.openxmlformats.org/officeDocument/2006/relationships/hyperlink" Target="#'81_ATTEND_DECIS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6.xml" Id="rId5" /></Relationships>
</file>

<file path=xl/worksheets/_rels/sheet3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0_FORECAST_OVERRIDES'!B2" TargetMode="External" Id="rId2" /><Relationship Type="http://schemas.openxmlformats.org/officeDocument/2006/relationships/hyperlink" Target="#'82_ACTION_INPU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7.xml" Id="rId5" /></Relationships>
</file>

<file path=xl/worksheets/_rels/sheet3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1_ATTEND_DECISIONS'!B2" TargetMode="External" Id="rId2" /><Relationship Type="http://schemas.openxmlformats.org/officeDocument/2006/relationships/hyperlink" Target="#'83_SCENARIO_INPU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8.xml" Id="rId5" /></Relationships>
</file>

<file path=xl/worksheets/_rels/sheet4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2_ACTION_INPUT'!B2" TargetMode="External" Id="rId2" /><Relationship Type="http://schemas.openxmlformats.org/officeDocument/2006/relationships/hyperlink" Target="#'84_CLOSE_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9.xml" Id="rId5" /></Relationships>
</file>

<file path=xl/worksheets/_rels/sheet4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3_SCENARIO_INPUTS'!B2" TargetMode="External" Id="rId2" /><Relationship Type="http://schemas.openxmlformats.org/officeDocument/2006/relationships/hyperlink" Target="#'85_FORECAST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0.xml" Id="rId5" /></Relationships>
</file>

<file path=xl/worksheets/_rels/sheet4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4_CLOSE_DAY'!B2" TargetMode="External" Id="rId2" /><Relationship Type="http://schemas.openxmlformats.org/officeDocument/2006/relationships/hyperlink" Target="#'86_REQUIREMENT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1.xml" Id="rId5" /></Relationships>
</file>

<file path=xl/worksheets/_rels/sheet4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5_FORECAST_APPROVAL'!B2" TargetMode="External" Id="rId2" /><Relationship Type="http://schemas.openxmlformats.org/officeDocument/2006/relationships/hyperlink" Target="#'87_SUPPLY_ASSUMPT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2.xml" Id="rId5" /></Relationships>
</file>

<file path=xl/worksheets/_rels/sheet4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6_REQUIREMENT_APPROVAL'!B2" TargetMode="External" Id="rId2" /><Relationship Type="http://schemas.openxmlformats.org/officeDocument/2006/relationships/hyperlink" Target="#'88_SUPPLY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3.xml" Id="rId5" /></Relationships>
</file>

<file path=xl/worksheets/_rels/sheet4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7_SUPPLY_ASSUMPTIONS'!B2" TargetMode="External" Id="rId2" /><Relationship Type="http://schemas.openxmlformats.org/officeDocument/2006/relationships/hyperlink" Target="#'89_HIRING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4.xml" Id="rId5" /></Relationships>
</file>

<file path=xl/worksheets/_rels/sheet4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8_SUPPLY_APPROVAL'!B2" TargetMode="External" Id="rId2" /><Relationship Type="http://schemas.openxmlformats.org/officeDocument/2006/relationships/hyperlink" Target="#'99_BUILD_INFO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5.xml" Id="rId5" /></Relationships>
</file>

<file path=xl/worksheets/_rels/sheet54.xml.rels><Relationships xmlns="http://schemas.openxmlformats.org/package/2006/relationships"><Relationship Type="http://schemas.openxmlformats.org/officeDocument/2006/relationships/table" Target="/xl/tables/table46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47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48.xml" Id="rId1" /></Relationships>
</file>

<file path=xl/worksheets/_rels/sheet5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6_REQUIREMENT_APPROVAL'!B2" TargetMode="External" Id="rId2" /><Relationship Type="http://schemas.openxmlformats.org/officeDocument/2006/relationships/hyperlink" Target="#'00_HOM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9.xml" Id="rId5" /></Relationships>
</file>

<file path=xl/worksheets/sheet1.xml><?xml version="1.0" encoding="utf-8"?>
<worksheet xmlns="http://schemas.openxmlformats.org/spreadsheetml/2006/main">
  <sheetPr>
    <tabColor rgb="000B6670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2" t="inlineStr">
        <is>
          <t>WFM OS</t>
        </is>
      </c>
      <c r="F2" s="3" t="inlineStr">
        <is>
          <t>UNIVERSAL WORKFORCE MANAGEMENT</t>
        </is>
      </c>
      <c r="M2" s="4" t="inlineStr">
        <is>
          <t>APPLICATION SHELL · 0.4.0-shell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>
      <c r="A4" s="1" t="n"/>
      <c r="B4" s="6" t="inlineStr">
        <is>
          <t>Command center</t>
        </is>
      </c>
      <c r="R4" s="1" t="n"/>
    </row>
    <row r="5">
      <c r="A5" s="1" t="n"/>
      <c r="B5" s="7" t="inlineStr">
        <is>
          <t>One governed view of demand, people, service, risk, and action across the complete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" t="inlineStr">
        <is>
          <t>DEPLOYMENT</t>
        </is>
      </c>
      <c r="F7" s="8" t="inlineStr">
        <is>
          <t>DATA QUALITY</t>
        </is>
      </c>
      <c r="J7" s="8" t="inlineStr">
        <is>
          <t>LAST REFRESH</t>
        </is>
      </c>
      <c r="N7" s="9" t="inlineStr">
        <is>
          <t>RELEASE STATE</t>
        </is>
      </c>
      <c r="R7" s="1" t="n"/>
    </row>
    <row r="8">
      <c r="A8" s="1" t="n"/>
      <c r="B8" s="10">
        <f>IF(COUNTIF(tblSourceSystems[Enabled],TRUE)&gt;0,"CONFIGURED","NOT CONFIGURED")</f>
        <v/>
      </c>
      <c r="F8" s="10">
        <f>IF(COUNTIF(tblDQChecks[Status],"BLOCKING")&gt;0,"BLOCKED","NOT VALIDATED")</f>
        <v/>
      </c>
      <c r="J8" s="10">
        <f>IF(COUNTA(tblRefreshAudit[CompletedAt])=0,"NEVER","SEE AUDIT")</f>
        <v/>
      </c>
      <c r="N8" s="11">
        <f>"NOT OPERATIONAL"</f>
        <v/>
      </c>
      <c r="R8" s="1" t="n"/>
    </row>
    <row r="9">
      <c r="A9" s="1" t="n"/>
      <c r="B9" s="12" t="n"/>
      <c r="F9" s="12" t="n"/>
      <c r="J9" s="12" t="n"/>
      <c r="N9" s="13" t="n"/>
      <c r="R9" s="1" t="n"/>
    </row>
    <row r="10">
      <c r="A10" s="1" t="n"/>
      <c r="B10" s="12" t="n"/>
      <c r="F10" s="12" t="n"/>
      <c r="J10" s="12" t="n"/>
      <c r="N10" s="13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4" t="inlineStr">
        <is>
          <t>WORKFORCE MANAGEMENT CYCLE</t>
        </is>
      </c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5" t="inlineStr">
        <is>
          <t>PLAN</t>
        </is>
      </c>
      <c r="G14" s="16" t="inlineStr">
        <is>
          <t>OPERATE</t>
        </is>
      </c>
      <c r="M14" s="17" t="inlineStr">
        <is>
          <t>IMPROVE</t>
        </is>
      </c>
      <c r="R14" s="1" t="n"/>
    </row>
    <row r="15">
      <c r="A15" s="1" t="n"/>
      <c r="B15" s="18" t="n"/>
      <c r="G15" s="19" t="n"/>
      <c r="M15" s="20" t="n"/>
      <c r="R15" s="1" t="n"/>
    </row>
    <row r="16">
      <c r="A16" s="1" t="n"/>
      <c r="B16" s="21" t="inlineStr">
        <is>
          <t>Strategy · demand · forecast
capacity · hiring</t>
        </is>
      </c>
      <c r="G16" s="22" t="inlineStr">
        <is>
          <t>Schedule · leave · intraday
attendance · adherence · actions</t>
        </is>
      </c>
      <c r="M16" s="23" t="inlineStr">
        <is>
          <t>Performance · executive
incentive governance</t>
        </is>
      </c>
      <c r="R16" s="1" t="n"/>
    </row>
    <row r="17">
      <c r="A17" s="1" t="n"/>
      <c r="B17" s="18" t="n"/>
      <c r="G17" s="19" t="n"/>
      <c r="M17" s="20" t="n"/>
      <c r="R17" s="1" t="n"/>
    </row>
    <row r="18">
      <c r="A18" s="1" t="n"/>
      <c r="B18" s="18" t="n"/>
      <c r="G18" s="19" t="n"/>
      <c r="M18" s="20" t="n"/>
      <c r="R18" s="1" t="n"/>
    </row>
    <row r="19">
      <c r="A19" s="1" t="n"/>
      <c r="B19" s="18" t="n"/>
      <c r="G19" s="19" t="n"/>
      <c r="M19" s="20" t="n"/>
      <c r="R19" s="1" t="n"/>
    </row>
    <row r="20">
      <c r="A20" s="1" t="n"/>
      <c r="B20" s="18" t="n"/>
      <c r="G20" s="19" t="n"/>
      <c r="M20" s="20" t="n"/>
      <c r="R20" s="1" t="n"/>
    </row>
    <row r="21">
      <c r="A21" s="1" t="n"/>
      <c r="B21" s="24" t="inlineStr">
        <is>
          <t>OPEN MODULE  →</t>
        </is>
      </c>
      <c r="G21" s="25" t="inlineStr">
        <is>
          <t>OPEN MODULE  →</t>
        </is>
      </c>
      <c r="M21" s="26" t="inlineStr">
        <is>
          <t>OPEN MODULE  →</t>
        </is>
      </c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4" t="inlineStr">
        <is>
          <t>START HERE</t>
        </is>
      </c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27" t="inlineStr">
        <is>
          <t>01  CONFIGURE</t>
        </is>
      </c>
      <c r="F26" s="27" t="inlineStr">
        <is>
          <t>02  MAP</t>
        </is>
      </c>
      <c r="J26" s="27" t="inlineStr">
        <is>
          <t>03  VALIDATE</t>
        </is>
      </c>
      <c r="N26" s="27" t="inlineStr">
        <is>
          <t>04  OPERATE</t>
        </is>
      </c>
      <c r="R26" s="1" t="n"/>
    </row>
    <row r="27">
      <c r="A27" s="1" t="n"/>
      <c r="B27" s="28" t="inlineStr">
        <is>
          <t>Register a deployment profile and source roles.</t>
        </is>
      </c>
      <c r="F27" s="28" t="inlineStr">
        <is>
          <t>Map external fields and values to canonical contracts.</t>
        </is>
      </c>
      <c r="J27" s="28" t="inlineStr">
        <is>
          <t>Resolve every blocking quality and reconciliation check.</t>
        </is>
      </c>
      <c r="N27" s="28" t="inlineStr">
        <is>
          <t>Use decisions only after the release gate is approved.</t>
        </is>
      </c>
      <c r="R27" s="1" t="n"/>
    </row>
    <row r="28">
      <c r="A28" s="1" t="n"/>
      <c r="R28" s="1" t="n"/>
    </row>
    <row r="29">
      <c r="A29" s="1" t="n"/>
      <c r="R29" s="1" t="n"/>
    </row>
    <row r="30">
      <c r="A30" s="1" t="n"/>
      <c r="R30" s="1" t="n"/>
    </row>
    <row r="31">
      <c r="A31" s="1" t="n"/>
      <c r="B31" s="29" t="inlineStr">
        <is>
          <t>OPEN  →</t>
        </is>
      </c>
      <c r="F31" s="29" t="inlineStr">
        <is>
          <t>OPEN  →</t>
        </is>
      </c>
      <c r="J31" s="29" t="inlineStr">
        <is>
          <t>OPEN  →</t>
        </is>
      </c>
      <c r="N31" s="29" t="inlineStr">
        <is>
          <t>OPEN  →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0" t="inlineStr">
        <is>
          <t>This release is not approved for operational use. Review BUILD_INFO and complete the release gate first.</t>
        </is>
      </c>
      <c r="R34" s="1" t="n"/>
    </row>
    <row r="35">
      <c r="A35" s="1" t="n"/>
      <c r="R35" s="1" t="n"/>
    </row>
    <row r="36">
      <c r="A36" s="1" t="n"/>
      <c r="R36" s="1" t="n"/>
    </row>
    <row r="37">
      <c r="A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7">
    <mergeCell ref="F8:I10"/>
    <mergeCell ref="F31:I31"/>
    <mergeCell ref="N31:Q31"/>
    <mergeCell ref="J31:M31"/>
    <mergeCell ref="B16:F20"/>
    <mergeCell ref="B24:Q24"/>
    <mergeCell ref="B2:E3"/>
    <mergeCell ref="F2:L3"/>
    <mergeCell ref="M14:Q15"/>
    <mergeCell ref="B27:E30"/>
    <mergeCell ref="B5:Q5"/>
    <mergeCell ref="B21:F21"/>
    <mergeCell ref="B26:E26"/>
    <mergeCell ref="J27:M30"/>
    <mergeCell ref="N26:Q26"/>
    <mergeCell ref="B4:Q4"/>
    <mergeCell ref="B7:E7"/>
    <mergeCell ref="N7:Q7"/>
    <mergeCell ref="B31:E31"/>
    <mergeCell ref="J8:M10"/>
    <mergeCell ref="F7:I7"/>
    <mergeCell ref="G16:L20"/>
    <mergeCell ref="M21:Q21"/>
    <mergeCell ref="B8:E10"/>
    <mergeCell ref="B12:Q12"/>
    <mergeCell ref="B34:Q37"/>
    <mergeCell ref="G21:L21"/>
    <mergeCell ref="M16:Q20"/>
    <mergeCell ref="F27:I30"/>
    <mergeCell ref="F26:I26"/>
    <mergeCell ref="J26:M26"/>
    <mergeCell ref="M2:Q3"/>
    <mergeCell ref="N27:Q30"/>
    <mergeCell ref="N8:Q10"/>
    <mergeCell ref="G14:L15"/>
    <mergeCell ref="J7:M7"/>
    <mergeCell ref="B14:F15"/>
  </mergeCells>
  <hyperlinks>
    <hyperlink xmlns:r="http://schemas.openxmlformats.org/officeDocument/2006/relationships" ref="B21" r:id="rId1"/>
    <hyperlink xmlns:r="http://schemas.openxmlformats.org/officeDocument/2006/relationships" ref="G21" r:id="rId2"/>
    <hyperlink xmlns:r="http://schemas.openxmlformats.org/officeDocument/2006/relationships" ref="M21" r:id="rId3"/>
    <hyperlink xmlns:r="http://schemas.openxmlformats.org/officeDocument/2006/relationships" ref="B31" r:id="rId4"/>
    <hyperlink xmlns:r="http://schemas.openxmlformats.org/officeDocument/2006/relationships" ref="F31" r:id="rId5"/>
    <hyperlink xmlns:r="http://schemas.openxmlformats.org/officeDocument/2006/relationships" ref="J31" r:id="rId6"/>
    <hyperlink xmlns:r="http://schemas.openxmlformats.org/officeDocument/2006/relationships" ref="N31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5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CONTROL CENTER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Control center</t>
        </is>
      </c>
      <c r="R4" s="1" t="n"/>
    </row>
    <row r="5" ht="22" customHeight="1">
      <c r="A5" s="1" t="n"/>
      <c r="B5" s="33" t="inlineStr">
        <is>
          <t>Configure the deployment boundary and operating context before any source is enabled.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DEPLOYMENT READINESS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Configuration is intentionally disabled. Complete the controlled fields below, then validate source mappings and data quality.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4" t="inlineStr">
        <is>
          <t>CONTROLLED DEPLOYMENT SETTINGS</t>
        </is>
      </c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28" customHeight="1">
      <c r="A16" s="1" t="n"/>
      <c r="B16" s="38" t="inlineStr">
        <is>
          <t>Setting</t>
        </is>
      </c>
      <c r="C16" s="38" t="inlineStr">
        <is>
          <t>Value</t>
        </is>
      </c>
      <c r="D16" s="38" t="inlineStr">
        <is>
          <t>Purpose</t>
        </is>
      </c>
      <c r="E16" s="38" t="inlineStr">
        <is>
          <t>Control state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Deployment profile</t>
        </is>
      </c>
      <c r="C17" s="39" t="inlineStr">
        <is>
          <t>BLANK_DEPLOYMENT</t>
        </is>
      </c>
      <c r="D17" s="40" t="inlineStr">
        <is>
          <t>Unique enterprise configuration profile.</t>
        </is>
      </c>
      <c r="E17" s="40" t="inlineStr">
        <is>
          <t>REQUIRED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As-of date</t>
        </is>
      </c>
      <c r="C18" s="41" t="inlineStr"/>
      <c r="D18" s="40" t="inlineStr">
        <is>
          <t>Operational boundary between closed and live facts.</t>
        </is>
      </c>
      <c r="E18" s="40" t="inlineStr">
        <is>
          <t>REQUIRED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Business time zone</t>
        </is>
      </c>
      <c r="C19" s="39" t="inlineStr">
        <is>
          <t>UTC</t>
        </is>
      </c>
      <c r="D19" s="40" t="inlineStr">
        <is>
          <t>Canonical display and business-day context.</t>
        </is>
      </c>
      <c r="E19" s="40" t="inlineStr">
        <is>
          <t>DEFAULT</t>
        </is>
      </c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History months</t>
        </is>
      </c>
      <c r="C20" s="42" t="n">
        <v>13</v>
      </c>
      <c r="D20" s="40" t="inlineStr">
        <is>
          <t>Closed-fact history window.</t>
        </is>
      </c>
      <c r="E20" s="40" t="inlineStr">
        <is>
          <t>DEFAULT</t>
        </is>
      </c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Refresh mode</t>
        </is>
      </c>
      <c r="C21" s="39" t="inlineStr">
        <is>
          <t>VALIDATION</t>
        </is>
      </c>
      <c r="D21" s="40" t="inlineStr">
        <is>
          <t>Validation must pass before operational mode.</t>
        </is>
      </c>
      <c r="E21" s="40" t="inlineStr">
        <is>
          <t>DEFAULT</t>
        </is>
      </c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Source root</t>
        </is>
      </c>
      <c r="C22" s="39" t="inlineStr">
        <is>
          <t>..\03_Data</t>
        </is>
      </c>
      <c r="D22" s="40" t="inlineStr">
        <is>
          <t>External runtime data; never commit production data.</t>
        </is>
      </c>
      <c r="E22" s="40" t="inlineStr">
        <is>
          <t>DEFAULT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Output root</t>
        </is>
      </c>
      <c r="C23" s="39" t="inlineStr">
        <is>
          <t>..\04_Outputs</t>
        </is>
      </c>
      <c r="D23" s="40" t="inlineStr">
        <is>
          <t>Controlled publications and generated outputs.</t>
        </is>
      </c>
      <c r="E23" s="40" t="inlineStr">
        <is>
          <t>DEFAULT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Backup root</t>
        </is>
      </c>
      <c r="C24" s="39" t="inlineStr">
        <is>
          <t>..\05_Backups</t>
        </is>
      </c>
      <c r="D24" s="40" t="inlineStr">
        <is>
          <t>Recoverable workbook snapshots.</t>
        </is>
      </c>
      <c r="E24" s="40" t="inlineStr">
        <is>
          <t>DEFAULT</t>
        </is>
      </c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</sheetData>
  <mergeCells count="12">
    <mergeCell ref="B2:D3"/>
    <mergeCell ref="K2:M3"/>
    <mergeCell ref="B14:Q14"/>
    <mergeCell ref="E2:J3"/>
    <mergeCell ref="B4:Q4"/>
    <mergeCell ref="O2:O3"/>
    <mergeCell ref="Q2:Q3"/>
    <mergeCell ref="N2:N3"/>
    <mergeCell ref="P2:P3"/>
    <mergeCell ref="B7:Q7"/>
    <mergeCell ref="C9:P11"/>
    <mergeCell ref="B5:Q5"/>
  </mergeCells>
  <dataValidations count="3">
    <dataValidation sqref="C17" showDropDown="0" showInputMessage="1" showErrorMessage="1" allowBlank="1" errorTitle="Invalid controlled value" error="Select a value from the governed list." promptTitle="WFM OS control" prompt="Choose a configured deployment profile." type="list">
      <formula1>=PROFILE_LIST</formula1>
    </dataValidation>
    <dataValidation sqref="C19" showDropDown="0" showInputMessage="1" showErrorMessage="1" allowBlank="1" errorTitle="Invalid controlled value" error="Select a value from the governed list." promptTitle="WFM OS control" prompt="Choose the canonical business time zone." type="list">
      <formula1>=TIMEZONE_LIST</formula1>
    </dataValidation>
    <dataValidation sqref="C21" showDropDown="0" showInputMessage="1" showErrorMessage="1" allowBlank="1" errorTitle="Invalid controlled value" error="Select a value from the governed list." promptTitle="WFM OS control" prompt="Use validation until all blocking checks pass." type="list">
      <formula1>=REFRESH_MODE_LIST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DATA QUALITY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Data quality</t>
        </is>
      </c>
      <c r="R4" s="1" t="n"/>
    </row>
    <row r="5" ht="22" customHeight="1">
      <c r="A5" s="1" t="n"/>
      <c r="B5" s="33" t="inlineStr">
        <is>
          <t>Which source or model issue blocks safe operational use, and who owns the resolution?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BLOCKING</t>
        </is>
      </c>
      <c r="F11" s="45" t="inlineStr">
        <is>
          <t>WARNINGS</t>
        </is>
      </c>
      <c r="J11" s="45" t="inlineStr">
        <is>
          <t>UNMAPPED</t>
        </is>
      </c>
      <c r="N11" s="45" t="inlineStr">
        <is>
          <t>LAST VALIDATION</t>
        </is>
      </c>
      <c r="R11" s="1" t="n"/>
    </row>
    <row r="12">
      <c r="A12" s="1" t="n"/>
      <c r="B12" s="46">
        <f>COUNTIF(tblDQChecks[Status],"BLOCKING")</f>
        <v/>
      </c>
      <c r="F12" s="46">
        <f>COUNTIF(tblDQChecks[Status],"WARNING")</f>
        <v/>
      </c>
      <c r="J12" s="46">
        <f>SUM(tblDQChecks[IssueCount])</f>
        <v/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 ht="28" customHeight="1">
      <c r="A18" s="1" t="n"/>
      <c r="B18" s="38" t="inlineStr">
        <is>
          <t>CheckKey</t>
        </is>
      </c>
      <c r="C18" s="38" t="inlineStr">
        <is>
          <t>Check</t>
        </is>
      </c>
      <c r="D18" s="38" t="inlineStr">
        <is>
          <t>Domain</t>
        </is>
      </c>
      <c r="E18" s="38" t="inlineStr">
        <is>
          <t>Requirement</t>
        </is>
      </c>
      <c r="F18" s="38" t="inlineStr">
        <is>
          <t>Status</t>
        </is>
      </c>
      <c r="G18" s="38" t="inlineStr">
        <is>
          <t>IssueCount</t>
        </is>
      </c>
      <c r="H18" s="38" t="inlineStr">
        <is>
          <t>Owner</t>
        </is>
      </c>
      <c r="I18" s="38" t="inlineStr">
        <is>
          <t>NextAction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DQ-001</t>
        </is>
      </c>
      <c r="C19" s="49" t="inlineStr">
        <is>
          <t>Required source enabled</t>
        </is>
      </c>
      <c r="D19" s="49" t="inlineStr">
        <is>
          <t>Source</t>
        </is>
      </c>
      <c r="E19" s="49" t="inlineStr">
        <is>
          <t>At least one enabled source is required.</t>
        </is>
      </c>
      <c r="F19" s="49" t="inlineStr">
        <is>
          <t>NOT RUN</t>
        </is>
      </c>
      <c r="G19" s="49" t="n">
        <v>0</v>
      </c>
      <c r="H19" s="49" t="inlineStr">
        <is>
          <t>Deployment owner</t>
        </is>
      </c>
      <c r="I19" s="49" t="inlineStr">
        <is>
          <t>Configure source roles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DQ-002</t>
        </is>
      </c>
      <c r="C20" s="49" t="inlineStr">
        <is>
          <t>Required fields mapped</t>
        </is>
      </c>
      <c r="D20" s="49" t="inlineStr">
        <is>
          <t>Schema</t>
        </is>
      </c>
      <c r="E20" s="49" t="inlineStr">
        <is>
          <t>Every required canonical field must have an enabled mapping.</t>
        </is>
      </c>
      <c r="F20" s="49" t="inlineStr">
        <is>
          <t>NOT RUN</t>
        </is>
      </c>
      <c r="G20" s="49" t="n">
        <v>0</v>
      </c>
      <c r="H20" s="49" t="inlineStr">
        <is>
          <t>Data owner</t>
        </is>
      </c>
      <c r="I20" s="49" t="inlineStr">
        <is>
          <t>Complete field mapping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DQ-003</t>
        </is>
      </c>
      <c r="C21" s="49" t="inlineStr">
        <is>
          <t>Unknown values quarantined</t>
        </is>
      </c>
      <c r="D21" s="49" t="inlineStr">
        <is>
          <t>Mapping</t>
        </is>
      </c>
      <c r="E21" s="49" t="inlineStr">
        <is>
          <t>Unknown source values must remain visible and excluded from approval.</t>
        </is>
      </c>
      <c r="F21" s="49" t="inlineStr">
        <is>
          <t>NOT RUN</t>
        </is>
      </c>
      <c r="G21" s="49" t="n">
        <v>0</v>
      </c>
      <c r="H21" s="49" t="inlineStr">
        <is>
          <t>Operations owner</t>
        </is>
      </c>
      <c r="I21" s="49" t="inlineStr">
        <is>
          <t>Resolve value mapping</t>
        </is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DQ-004</t>
        </is>
      </c>
      <c r="C22" s="49" t="inlineStr">
        <is>
          <t>Canonical keys unique</t>
        </is>
      </c>
      <c r="D22" s="49" t="inlineStr">
        <is>
          <t>Model</t>
        </is>
      </c>
      <c r="E22" s="49" t="inlineStr">
        <is>
          <t>Dimension and fact keys must be unique at their declared grain.</t>
        </is>
      </c>
      <c r="F22" s="49" t="inlineStr">
        <is>
          <t>NOT RUN</t>
        </is>
      </c>
      <c r="G22" s="49" t="n">
        <v>0</v>
      </c>
      <c r="H22" s="49" t="inlineStr">
        <is>
          <t>Model owner</t>
        </is>
      </c>
      <c r="I22" s="49" t="inlineStr">
        <is>
          <t>Validate canonical build</t>
        </is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DQ-005</t>
        </is>
      </c>
      <c r="C23" s="49" t="inlineStr">
        <is>
          <t>Live and closed do not overlap</t>
        </is>
      </c>
      <c r="D23" s="49" t="inlineStr">
        <is>
          <t>Model</t>
        </is>
      </c>
      <c r="E23" s="49" t="inlineStr">
        <is>
          <t>No business date may exist in both refresh lanes.</t>
        </is>
      </c>
      <c r="F23" s="49" t="inlineStr">
        <is>
          <t>NOT RUN</t>
        </is>
      </c>
      <c r="G23" s="49" t="n">
        <v>0</v>
      </c>
      <c r="H23" s="49" t="inlineStr">
        <is>
          <t>Model owner</t>
        </is>
      </c>
      <c r="I23" s="49" t="inlineStr">
        <is>
          <t>Validate date boundary</t>
        </is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DQ-006</t>
        </is>
      </c>
      <c r="C24" s="49" t="inlineStr">
        <is>
          <t>Source totals reconcile</t>
        </is>
      </c>
      <c r="D24" s="49" t="inlineStr">
        <is>
          <t>Reconciliation</t>
        </is>
      </c>
      <c r="E24" s="49" t="inlineStr">
        <is>
          <t>Source totals must reconcile to canonical facts before approval.</t>
        </is>
      </c>
      <c r="F24" s="49" t="inlineStr">
        <is>
          <t>NOT RUN</t>
        </is>
      </c>
      <c r="G24" s="49" t="n">
        <v>0</v>
      </c>
      <c r="H24" s="49" t="inlineStr">
        <is>
          <t>WFM owner</t>
        </is>
      </c>
      <c r="I24" s="49" t="inlineStr">
        <is>
          <t>Run reconciliation</t>
        </is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DQ-007</t>
        </is>
      </c>
      <c r="C25" s="49" t="inlineStr">
        <is>
          <t>Forecast approvals are unique</t>
        </is>
      </c>
      <c r="D25" s="49" t="inlineStr">
        <is>
          <t>Planning</t>
        </is>
      </c>
      <c r="E25" s="49" t="inlineStr">
        <is>
          <t>Only one valid approved forecast row may exist per scenario, interval, activity, and channel grain.</t>
        </is>
      </c>
      <c r="F25" s="49" t="inlineStr">
        <is>
          <t>NOT RUN</t>
        </is>
      </c>
      <c r="G25" s="49" t="n">
        <v>0</v>
      </c>
      <c r="H25" s="49" t="inlineStr">
        <is>
          <t>Planning owner</t>
        </is>
      </c>
      <c r="I25" s="49" t="inlineStr">
        <is>
          <t>Resolve dq_PlanningApprovals</t>
        </is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DQ-008</t>
        </is>
      </c>
      <c r="C26" s="49" t="inlineStr">
        <is>
          <t>Requirements are approved</t>
        </is>
      </c>
      <c r="D26" s="49" t="inlineStr">
        <is>
          <t>Planning</t>
        </is>
      </c>
      <c r="E26" s="49" t="inlineStr">
        <is>
          <t>Only evidence-backed, valid approved requirements may enter canonical staffing facts.</t>
        </is>
      </c>
      <c r="F26" s="49" t="inlineStr">
        <is>
          <t>NOT RUN</t>
        </is>
      </c>
      <c r="G26" s="49" t="n">
        <v>0</v>
      </c>
      <c r="H26" s="49" t="inlineStr">
        <is>
          <t>Capacity owner</t>
        </is>
      </c>
      <c r="I26" s="49" t="inlineStr">
        <is>
          <t>Resolve dq_PlanningApprovals</t>
        </is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9" t="inlineStr">
        <is>
          <t>DQ-009</t>
        </is>
      </c>
      <c r="C27" s="49" t="inlineStr">
        <is>
          <t>Intraday profiles reconcile</t>
        </is>
      </c>
      <c r="D27" s="49" t="inlineStr">
        <is>
          <t>Planning</t>
        </is>
      </c>
      <c r="E27" s="49" t="inlineStr">
        <is>
          <t>Each active profile must contain 48 intervals and reconcile volume and AHT factors.</t>
        </is>
      </c>
      <c r="F27" s="49" t="inlineStr">
        <is>
          <t>NOT RUN</t>
        </is>
      </c>
      <c r="G27" s="49" t="n">
        <v>0</v>
      </c>
      <c r="H27" s="49" t="inlineStr">
        <is>
          <t>Forecast owner</t>
        </is>
      </c>
      <c r="I27" s="49" t="inlineStr">
        <is>
          <t>Validate the Python interval run</t>
        </is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9" t="inlineStr">
        <is>
          <t>DQ-010</t>
        </is>
      </c>
      <c r="C28" s="49" t="inlineStr">
        <is>
          <t>Hiring reconciles to supply</t>
        </is>
      </c>
      <c r="D28" s="49" t="inlineStr">
        <is>
          <t>Planning</t>
        </is>
      </c>
      <c r="E28" s="49" t="inlineStr">
        <is>
          <t>Approved proficient hiring FTE must equal planned-hire FTE in the approved supply plan.</t>
        </is>
      </c>
      <c r="F28" s="49" t="inlineStr">
        <is>
          <t>NOT RUN</t>
        </is>
      </c>
      <c r="G28" s="49" t="n">
        <v>0</v>
      </c>
      <c r="H28" s="49" t="inlineStr">
        <is>
          <t>Workforce owner</t>
        </is>
      </c>
      <c r="I28" s="49" t="inlineStr">
        <is>
          <t>Resolve dq_PlanningApprovals</t>
        </is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5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J11:M11"/>
  </mergeCells>
  <conditionalFormatting sqref="F19:F500">
    <cfRule type="expression" priority="1" dxfId="0">
      <formula>F19="BLOCKING"</formula>
    </cfRule>
    <cfRule type="expression" priority="2" dxfId="1">
      <formula>F19="WARNING"</formula>
    </cfRule>
    <cfRule type="expression" priority="3" dxfId="2">
      <formula>F19="PASSED"</formula>
    </cfRule>
  </conditionalFormatting>
  <dataValidations count="1">
    <dataValidation sqref="F19:F500" showDropDown="0" showInputMessage="1" showErrorMessage="1" allowBlank="1" errorTitle="Invalid controlled value" error="Select a value from the governed list." promptTitle="WFM OS control" prompt="Choose the validation outcome." type="list">
      <formula1>=DQ_STATUS_LIST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REFRESH AUDIT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Refresh audit</t>
        </is>
      </c>
      <c r="R4" s="1" t="n"/>
    </row>
    <row r="5" ht="22" customHeight="1">
      <c r="A5" s="1" t="n"/>
      <c r="B5" s="33" t="inlineStr">
        <is>
          <t>Is the current view traceable to a complete, successful, and reconciled refresh?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REFRESH HISTORY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No refresh has been executed. The executable refresh controller will append immutable run records here in a later release.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Q12" s="36" t="n"/>
      <c r="R12" s="1" t="n"/>
    </row>
    <row r="13">
      <c r="A13" s="1" t="n"/>
      <c r="B13" s="35" t="n"/>
      <c r="Q13" s="36" t="n"/>
      <c r="R13" s="1" t="n"/>
    </row>
    <row r="14">
      <c r="A14" s="1" t="n"/>
      <c r="B14" s="35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 ht="28" customHeight="1">
      <c r="A17" s="1" t="n"/>
      <c r="B17" s="38" t="inlineStr">
        <is>
          <t>RunKey</t>
        </is>
      </c>
      <c r="C17" s="38" t="inlineStr">
        <is>
          <t>Profile</t>
        </is>
      </c>
      <c r="D17" s="38" t="inlineStr">
        <is>
          <t>Mode</t>
        </is>
      </c>
      <c r="E17" s="38" t="inlineStr">
        <is>
          <t>StartedAt</t>
        </is>
      </c>
      <c r="F17" s="38" t="inlineStr">
        <is>
          <t>CompletedAt</t>
        </is>
      </c>
      <c r="G17" s="38" t="inlineStr">
        <is>
          <t>Status</t>
        </is>
      </c>
      <c r="H17" s="38" t="inlineStr">
        <is>
          <t>SourceFiles</t>
        </is>
      </c>
      <c r="I17" s="38" t="inlineStr">
        <is>
          <t>RowsRead</t>
        </is>
      </c>
      <c r="J17" s="38" t="inlineStr">
        <is>
          <t>RowsQuarantined</t>
        </is>
      </c>
      <c r="K17" s="38" t="inlineStr">
        <is>
          <t>ReconciliationStatus</t>
        </is>
      </c>
      <c r="L17" s="38" t="inlineStr">
        <is>
          <t>InitiatedBy</t>
        </is>
      </c>
      <c r="M17" s="1" t="n"/>
      <c r="N17" s="1" t="n"/>
      <c r="O17" s="1" t="n"/>
      <c r="P17" s="1" t="n"/>
      <c r="Q17" s="1" t="n"/>
      <c r="R17" s="1" t="n"/>
    </row>
    <row r="18">
      <c r="A18" s="1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1">
    <mergeCell ref="B2:D3"/>
    <mergeCell ref="K2:M3"/>
    <mergeCell ref="E2:J3"/>
    <mergeCell ref="B4:Q4"/>
    <mergeCell ref="O2:O3"/>
    <mergeCell ref="Q2:Q3"/>
    <mergeCell ref="N2:N3"/>
    <mergeCell ref="P2:P3"/>
    <mergeCell ref="B7:Q7"/>
    <mergeCell ref="C9:P1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STRATEGIC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Strategic plan</t>
        </is>
      </c>
      <c r="R4" s="1" t="n"/>
    </row>
    <row r="5" ht="22" customHeight="1">
      <c r="A5" s="1" t="n"/>
      <c r="B5" s="33" t="inlineStr">
        <is>
          <t>Do demand, workforce supply, and investment remain aligned across the planning horizon?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PLANNING HORIZON</t>
        </is>
      </c>
      <c r="F11" s="45" t="inlineStr">
        <is>
          <t>DEMAND GROWTH</t>
        </is>
      </c>
      <c r="J11" s="45" t="inlineStr">
        <is>
          <t>FUNDED FTE</t>
        </is>
      </c>
      <c r="N11" s="45" t="inlineStr">
        <is>
          <t>CAPACITY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DEMAND, SUPPLY, AND COST OUTLOOK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PLANNING ASSUMPTIONS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Demand</t>
        </is>
      </c>
      <c r="F33" s="38" t="inlineStr">
        <is>
          <t>Required FTE</t>
        </is>
      </c>
      <c r="G33" s="38" t="inlineStr">
        <is>
          <t>Funded FTE</t>
        </is>
      </c>
      <c r="H33" s="38" t="inlineStr">
        <is>
          <t>Gap FTE</t>
        </is>
      </c>
      <c r="I33" s="38" t="inlineStr">
        <is>
          <t>Decision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DEMAND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Demand plan</t>
        </is>
      </c>
      <c r="R4" s="1" t="n"/>
    </row>
    <row r="5" ht="22" customHeight="1">
      <c r="A5" s="1" t="n"/>
      <c r="B5" s="33" t="inlineStr">
        <is>
          <t>What workload should the operation plan for by activity, channel, and interval?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PLANNED VOLUME</t>
        </is>
      </c>
      <c r="F11" s="45" t="inlineStr">
        <is>
          <t>PLANNED AHT</t>
        </is>
      </c>
      <c r="J11" s="45" t="inlineStr">
        <is>
          <t>BACKLOG HOURS</t>
        </is>
      </c>
      <c r="N11" s="45" t="inlineStr">
        <is>
          <t>DEMAND CHANGE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 PROFILE BY ACTIVITY AND CHANNEL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DEMAND ASSUMPTIONS AND EXCEPTIONAL EVENTS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Baseline volume</t>
        </is>
      </c>
      <c r="F33" s="38" t="inlineStr">
        <is>
          <t>Event impact</t>
        </is>
      </c>
      <c r="G33" s="38" t="inlineStr">
        <is>
          <t>Planned volume</t>
        </is>
      </c>
      <c r="H33" s="38" t="inlineStr">
        <is>
          <t>AHT seconds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</t>
        </is>
      </c>
      <c r="R4" s="1" t="n"/>
    </row>
    <row r="5" ht="22" customHeight="1">
      <c r="A5" s="1" t="n"/>
      <c r="B5" s="33" t="inlineStr">
        <is>
          <t>Which approved forecast version should drive downstream workforce decisions?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APPROVED VOLUME</t>
        </is>
      </c>
      <c r="F11" s="45" t="inlineStr">
        <is>
          <t>FORECAST AHT</t>
        </is>
      </c>
      <c r="J11" s="45" t="inlineStr">
        <is>
          <t>BIAS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ACTUAL, BASELINE, AND APPROVED FORECAST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FORECAST VERSIONS AWAITING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Version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Volume</t>
        </is>
      </c>
      <c r="H33" s="38" t="inlineStr">
        <is>
          <t>AHT seconds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8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ACCURACY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accuracy</t>
        </is>
      </c>
      <c r="R4" s="1" t="n"/>
    </row>
    <row r="5" ht="22" customHeight="1">
      <c r="A5" s="1" t="n"/>
      <c r="B5" s="33" t="inlineStr">
        <is>
          <t>Where is forecast error systematic enough to change the next planning cycle?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WAPE</t>
        </is>
      </c>
      <c r="F11" s="45" t="inlineStr">
        <is>
          <t>BIAS</t>
        </is>
      </c>
      <c r="J11" s="45" t="inlineStr">
        <is>
          <t>INTERVAL ACCURACY</t>
        </is>
      </c>
      <c r="N11" s="45" t="inlineStr">
        <is>
          <t>OUTLIER PERIODS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ERROR TREND AND BIAS BY PLANNING GRAIN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MISSES FOR ROOT-CAUSE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Actual</t>
        </is>
      </c>
      <c r="F33" s="38" t="inlineStr">
        <is>
          <t>Forecast</t>
        </is>
      </c>
      <c r="G33" s="38" t="inlineStr">
        <is>
          <t>Absolute error</t>
        </is>
      </c>
      <c r="H33" s="38" t="inlineStr">
        <is>
          <t>Bias</t>
        </is>
      </c>
      <c r="I33" s="38" t="inlineStr">
        <is>
          <t>Root-cause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9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plan</t>
        </is>
      </c>
      <c r="R4" s="1" t="n"/>
    </row>
    <row r="5" ht="22" customHeight="1">
      <c r="A5" s="1" t="n"/>
      <c r="B5" s="33" t="inlineStr">
        <is>
          <t>How many productive and paid FTE are required to meet demand and service objectives?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REQUIRED FTE</t>
        </is>
      </c>
      <c r="F11" s="45" t="inlineStr">
        <is>
          <t>AVAILABLE FTE</t>
        </is>
      </c>
      <c r="J11" s="45" t="inlineStr">
        <is>
          <t>NET GAP</t>
        </is>
      </c>
      <c r="N11" s="45" t="inlineStr">
        <is>
          <t>SHRINKAGE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REQUIREMENT, SUPPLY, AND GAP BY PERIOD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CAPACITY RISKS AND SCENARIO DECISIONS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Required FTE</t>
        </is>
      </c>
      <c r="F33" s="38" t="inlineStr">
        <is>
          <t>Available FTE</t>
        </is>
      </c>
      <c r="G33" s="38" t="inlineStr">
        <is>
          <t>Gap FTE</t>
        </is>
      </c>
      <c r="H33" s="38" t="inlineStr">
        <is>
          <t>Risk</t>
        </is>
      </c>
      <c r="I33" s="38" t="inlineStr">
        <is>
          <t>Decision owner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plan</t>
        </is>
      </c>
      <c r="R4" s="1" t="n"/>
    </row>
    <row r="5" ht="22" customHeight="1">
      <c r="A5" s="1" t="n"/>
      <c r="B5" s="33" t="inlineStr">
        <is>
          <t>Which hiring and training waves close the capacity gap at the required proficiency date?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HIRING NEED</t>
        </is>
      </c>
      <c r="F11" s="45" t="inlineStr">
        <is>
          <t>IN PIPELINE</t>
        </is>
      </c>
      <c r="J11" s="45" t="inlineStr">
        <is>
          <t>RAMPING FTE</t>
        </is>
      </c>
      <c r="N11" s="45" t="inlineStr">
        <is>
          <t>RESIDUAL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HIRING FUNNEL, TRAINING WAVES, AND PROFICIENCY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WORKFORCE ACTIONS REQUIRING COMMITMENT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Wave</t>
        </is>
      </c>
      <c r="C33" s="38" t="inlineStr">
        <is>
          <t>Activity</t>
        </is>
      </c>
      <c r="D33" s="38" t="inlineStr">
        <is>
          <t>Recruitment start</t>
        </is>
      </c>
      <c r="E33" s="38" t="inlineStr">
        <is>
          <t>Training start</t>
        </is>
      </c>
      <c r="F33" s="38" t="inlineStr">
        <is>
          <t>Proficiency date</t>
        </is>
      </c>
      <c r="G33" s="38" t="inlineStr">
        <is>
          <t>Planned heads</t>
        </is>
      </c>
      <c r="H33" s="38" t="inlineStr">
        <is>
          <t>Expected yield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1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SCHEDULE DESIGN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Schedule design</t>
        </is>
      </c>
      <c r="R4" s="1" t="n"/>
    </row>
    <row r="5" ht="22" customHeight="1">
      <c r="A5" s="1" t="n"/>
      <c r="B5" s="33" t="inlineStr">
        <is>
          <t>Which shift mix covers interval demand while honoring contracts and policy?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COVERAGE</t>
        </is>
      </c>
      <c r="F11" s="45" t="inlineStr">
        <is>
          <t>PAID FTE</t>
        </is>
      </c>
      <c r="J11" s="45" t="inlineStr">
        <is>
          <t>PRODUCTIVE FTE</t>
        </is>
      </c>
      <c r="N11" s="45" t="inlineStr">
        <is>
          <t>CONSTRAINT BREACHES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INTERVAL COVERAGE AND SHIFT-PATTERN FIT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SCHEDULE PATTERNS REQUIRING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Pattern</t>
        </is>
      </c>
      <c r="C33" s="38" t="inlineStr">
        <is>
          <t>Activity</t>
        </is>
      </c>
      <c r="D33" s="38" t="inlineStr">
        <is>
          <t>Site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Paid hours</t>
        </is>
      </c>
      <c r="H33" s="38" t="inlineStr">
        <is>
          <t>Coverage contribution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plan</t>
        </is>
      </c>
      <c r="R4" s="1" t="n"/>
    </row>
    <row r="5" ht="22" customHeight="1">
      <c r="A5" s="1" t="n"/>
      <c r="B5" s="33" t="inlineStr">
        <is>
          <t>How much leave can be approved without breaching service or coverage thresholds?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LEAVE ALLOWANCE</t>
        </is>
      </c>
      <c r="F11" s="45" t="inlineStr">
        <is>
          <t>REQUESTED</t>
        </is>
      </c>
      <c r="J11" s="45" t="inlineStr">
        <is>
          <t>APPROVED</t>
        </is>
      </c>
      <c r="N11" s="45" t="inlineStr">
        <is>
          <t>REMAINING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LEAVE ALLOWANCE AND CAPACITY IMPACT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REQUESTS OUTSIDE AVAILABLE ALLOWANCE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Date</t>
        </is>
      </c>
      <c r="C33" s="38" t="inlineStr">
        <is>
          <t>Activity</t>
        </is>
      </c>
      <c r="D33" s="38" t="inlineStr">
        <is>
          <t>Allowance hours</t>
        </is>
      </c>
      <c r="E33" s="38" t="inlineStr">
        <is>
          <t>Requested hours</t>
        </is>
      </c>
      <c r="F33" s="38" t="inlineStr">
        <is>
          <t>Approved hours</t>
        </is>
      </c>
      <c r="G33" s="38" t="inlineStr">
        <is>
          <t>Remaining hours</t>
        </is>
      </c>
      <c r="H33" s="38" t="inlineStr">
        <is>
          <t>Impact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INTRADAY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Intraday control</t>
        </is>
      </c>
      <c r="R4" s="1" t="n"/>
    </row>
    <row r="5" ht="22" customHeight="1">
      <c r="A5" s="1" t="n"/>
      <c r="B5" s="33" t="inlineStr">
        <is>
          <t>What has changed today, what is the service impact, and which action should happen next?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LEVEL</t>
        </is>
      </c>
      <c r="F11" s="45" t="inlineStr">
        <is>
          <t>VOLUME VS PLAN</t>
        </is>
      </c>
      <c r="J11" s="45" t="inlineStr">
        <is>
          <t>AHT VS PLAN</t>
        </is>
      </c>
      <c r="N11" s="45" t="inlineStr">
        <is>
          <t>NET STAFFING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ACTUAL VERSUS PLAN BY INTERVAL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LIVE EXCEPTIONS AND RECOMMENDED ACTIONS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Interval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Forecast</t>
        </is>
      </c>
      <c r="F33" s="38" t="inlineStr">
        <is>
          <t>Actual</t>
        </is>
      </c>
      <c r="G33" s="38" t="inlineStr">
        <is>
          <t>Required FTE</t>
        </is>
      </c>
      <c r="H33" s="38" t="inlineStr">
        <is>
          <t>Present FTE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</t>
        </is>
      </c>
      <c r="R4" s="1" t="n"/>
    </row>
    <row r="5" ht="22" customHeight="1">
      <c r="A5" s="1" t="n"/>
      <c r="B5" s="33" t="inlineStr">
        <is>
          <t>Which attendance exceptions need evidence, ownership, and a controlled decision?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SCHEDULED</t>
        </is>
      </c>
      <c r="F11" s="45" t="inlineStr">
        <is>
          <t>PRESENT</t>
        </is>
      </c>
      <c r="J11" s="45" t="inlineStr">
        <is>
          <t>ABSENT</t>
        </is>
      </c>
      <c r="N11" s="45" t="inlineStr">
        <is>
          <t>OPEN CASES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SCHEDULED PRESENCE AND ATTENDANCE OUTCOME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ATTENDANCE CASES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Case key</t>
        </is>
      </c>
      <c r="C33" s="38" t="inlineStr">
        <is>
          <t>Business date</t>
        </is>
      </c>
      <c r="D33" s="38" t="inlineStr">
        <is>
          <t>Agent key</t>
        </is>
      </c>
      <c r="E33" s="38" t="inlineStr">
        <is>
          <t>Exception</t>
        </is>
      </c>
      <c r="F33" s="38" t="inlineStr">
        <is>
          <t>Minutes</t>
        </is>
      </c>
      <c r="G33" s="38" t="inlineStr">
        <is>
          <t>Evidence status</t>
        </is>
      </c>
      <c r="H33" s="38" t="inlineStr">
        <is>
          <t>Owner</t>
        </is>
      </c>
      <c r="I33" s="38" t="inlineStr">
        <is>
          <t>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ADHERENCE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Adherence</t>
        </is>
      </c>
      <c r="R4" s="1" t="n"/>
    </row>
    <row r="5" ht="22" customHeight="1">
      <c r="A5" s="1" t="n"/>
      <c r="B5" s="33" t="inlineStr">
        <is>
          <t>Where did actual activity materially diverge from the approved schedule?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ADHERENCE</t>
        </is>
      </c>
      <c r="F11" s="45" t="inlineStr">
        <is>
          <t>CONFORMANCE</t>
        </is>
      </c>
      <c r="J11" s="45" t="inlineStr">
        <is>
          <t>EXCEPTION MINUTES</t>
        </is>
      </c>
      <c r="N11" s="45" t="inlineStr">
        <is>
          <t>AGENTS AFFECTED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SCHEDULED AND ACTUAL ACTIVITY ALIGNMENT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ADHERENCE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Business date</t>
        </is>
      </c>
      <c r="C33" s="38" t="inlineStr">
        <is>
          <t>Agent key</t>
        </is>
      </c>
      <c r="D33" s="38" t="inlineStr">
        <is>
          <t>Scheduled activity</t>
        </is>
      </c>
      <c r="E33" s="38" t="inlineStr">
        <is>
          <t>Actual activity</t>
        </is>
      </c>
      <c r="F33" s="38" t="inlineStr">
        <is>
          <t>Minutes</t>
        </is>
      </c>
      <c r="G33" s="38" t="inlineStr">
        <is>
          <t>Tolerance</t>
        </is>
      </c>
      <c r="H33" s="38" t="inlineStr">
        <is>
          <t>Owner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OPERATIONAL ACTIONS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Operational actions</t>
        </is>
      </c>
      <c r="R4" s="1" t="n"/>
    </row>
    <row r="5" ht="22" customHeight="1">
      <c r="A5" s="1" t="n"/>
      <c r="B5" s="33" t="inlineStr">
        <is>
          <t>Are actions owned, time-bound, and producing the intended operational outcome?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OPEN ACTIONS</t>
        </is>
      </c>
      <c r="F11" s="45" t="inlineStr">
        <is>
          <t>OVERDUE</t>
        </is>
      </c>
      <c r="J11" s="45" t="inlineStr">
        <is>
          <t>DUE TODAY</t>
        </is>
      </c>
      <c r="N11" s="45" t="inlineStr">
        <is>
          <t>EFFECTIVE ACTIONS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ACTION VOLUME, AGING, AND EFFECTIVENESS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CURRENT ACTION REGISTER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Action key</t>
        </is>
      </c>
      <c r="C33" s="38" t="inlineStr">
        <is>
          <t>Opened at</t>
        </is>
      </c>
      <c r="D33" s="38" t="inlineStr">
        <is>
          <t>Module</t>
        </is>
      </c>
      <c r="E33" s="38" t="inlineStr">
        <is>
          <t>Severity</t>
        </is>
      </c>
      <c r="F33" s="38" t="inlineStr">
        <is>
          <t>Action</t>
        </is>
      </c>
      <c r="G33" s="38" t="inlineStr">
        <is>
          <t>Owner</t>
        </is>
      </c>
      <c r="H33" s="38" t="inlineStr">
        <is>
          <t>Due at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PERFORMANCE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Performance</t>
        </is>
      </c>
      <c r="R4" s="1" t="n"/>
    </row>
    <row r="5" ht="22" customHeight="1">
      <c r="A5" s="1" t="n"/>
      <c r="B5" s="33" t="inlineStr">
        <is>
          <t>Which performance gaps are material, explainable, and actionable at team and agent level?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OUTCOME</t>
        </is>
      </c>
      <c r="F11" s="45" t="inlineStr">
        <is>
          <t>PRODUCTIVITY</t>
        </is>
      </c>
      <c r="J11" s="45" t="inlineStr">
        <is>
          <t>QUALITY</t>
        </is>
      </c>
      <c r="N11" s="45" t="inlineStr">
        <is>
          <t>ATTENDANCE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BALANCED OPERATIONAL PERFORMANCE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EXCEPTIONS REQUIRING COACHING OR PROCESS ACTION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Team</t>
        </is>
      </c>
      <c r="E33" s="38" t="inlineStr">
        <is>
          <t>Metric</t>
        </is>
      </c>
      <c r="F33" s="38" t="inlineStr">
        <is>
          <t>Actual</t>
        </is>
      </c>
      <c r="G33" s="38" t="inlineStr">
        <is>
          <t>Target</t>
        </is>
      </c>
      <c r="H33" s="38" t="inlineStr">
        <is>
          <t>Variance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EXECUTIVE VIEW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Executive view</t>
        </is>
      </c>
      <c r="R4" s="1" t="n"/>
    </row>
    <row r="5" ht="22" customHeight="1">
      <c r="A5" s="1" t="n"/>
      <c r="B5" s="33" t="inlineStr">
        <is>
          <t>Are service, cost, people, and risk moving in the direction committed to leadership?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</t>
        </is>
      </c>
      <c r="F11" s="45" t="inlineStr">
        <is>
          <t>COST / OUTPUT</t>
        </is>
      </c>
      <c r="J11" s="45" t="inlineStr">
        <is>
          <t>WORKFORCE RISK</t>
        </is>
      </c>
      <c r="N11" s="45" t="inlineStr">
        <is>
          <t>PLAN CONFIDENCE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ENTERPRISE WFM SCORECARD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DECISIONS AND RISKS FOR LEADERSHIP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Dimension</t>
        </is>
      </c>
      <c r="D33" s="38" t="inlineStr">
        <is>
          <t>Measure</t>
        </is>
      </c>
      <c r="E33" s="38" t="inlineStr">
        <is>
          <t>Actual</t>
        </is>
      </c>
      <c r="F33" s="38" t="inlineStr">
        <is>
          <t>Target</t>
        </is>
      </c>
      <c r="G33" s="38" t="inlineStr">
        <is>
          <t>Trend</t>
        </is>
      </c>
      <c r="H33" s="38" t="inlineStr">
        <is>
          <t>Risk</t>
        </is>
      </c>
      <c r="I33" s="38" t="inlineStr">
        <is>
          <t>Executive 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9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INCENTIVE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Incentive control</t>
        </is>
      </c>
      <c r="R4" s="1" t="n"/>
    </row>
    <row r="5" ht="22" customHeight="1">
      <c r="A5" s="1" t="n"/>
      <c r="B5" s="33" t="inlineStr">
        <is>
          <t>Is the proposed incentive result governed, approved, and safe to publish?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ELIGIBLE PEOPLE</t>
        </is>
      </c>
      <c r="F11" s="45" t="inlineStr">
        <is>
          <t>PROPOSED PAYOUT</t>
        </is>
      </c>
      <c r="J11" s="45" t="inlineStr">
        <is>
          <t>CONTROL FAILURES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POLICY OUTCOME AND PAYOUT DISTRIBUTION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BLOCKING CONTROLS AND APPROVAL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Run key</t>
        </is>
      </c>
      <c r="C33" s="38" t="inlineStr">
        <is>
          <t>Period</t>
        </is>
      </c>
      <c r="D33" s="38" t="inlineStr">
        <is>
          <t>Policy version</t>
        </is>
      </c>
      <c r="E33" s="38" t="inlineStr">
        <is>
          <t>Population</t>
        </is>
      </c>
      <c r="F33" s="38" t="inlineStr">
        <is>
          <t>Currency</t>
        </is>
      </c>
      <c r="G33" s="38" t="inlineStr">
        <is>
          <t>Proposed payout</t>
        </is>
      </c>
      <c r="H33" s="38" t="inlineStr">
        <is>
          <t>Control status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PARAMETERS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Parameters</t>
        </is>
      </c>
      <c r="R4" s="1" t="n"/>
    </row>
    <row r="5" ht="22" customHeight="1">
      <c r="A5" s="1" t="n"/>
      <c r="B5" s="33" t="inlineStr">
        <is>
          <t>Set the portable deployment boundary and live/closed refresh context.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Parameter</t>
        </is>
      </c>
      <c r="C13" s="38" t="inlineStr">
        <is>
          <t>Value</t>
        </is>
      </c>
      <c r="D13" s="38" t="inlineStr">
        <is>
          <t>DataType</t>
        </is>
      </c>
      <c r="E13" s="38" t="inlineStr">
        <is>
          <t>Description</t>
        </is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RootPath</t>
        </is>
      </c>
      <c r="C14" s="40" t="inlineStr">
        <is>
          <t>&lt;SET ABSOLUTE ROOT PATH&gt;</t>
        </is>
      </c>
      <c r="D14" s="40" t="inlineStr">
        <is>
          <t>text</t>
        </is>
      </c>
      <c r="E14" s="40" t="inlineStr">
        <is>
          <t>Absolute path of the cloned WFM OS folder</t>
        </is>
      </c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EnterpriseProfile</t>
        </is>
      </c>
      <c r="C15" s="40" t="inlineStr">
        <is>
          <t>BLANK_DEPLOYMENT</t>
        </is>
      </c>
      <c r="D15" s="40" t="inlineStr">
        <is>
          <t>text</t>
        </is>
      </c>
      <c r="E15" s="40" t="inlineStr">
        <is>
          <t>Active deployment profile; replace before enabling sources</t>
        </is>
      </c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AsOfDate</t>
        </is>
      </c>
      <c r="C16" s="40" t="inlineStr"/>
      <c r="D16" s="40" t="inlineStr">
        <is>
          <t>date</t>
        </is>
      </c>
      <c r="E16" s="40" t="inlineStr">
        <is>
          <t>Operational date used by the live refresh lane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HistoryMonths</t>
        </is>
      </c>
      <c r="C17" s="40" t="n">
        <v>13</v>
      </c>
      <c r="D17" s="40" t="inlineStr">
        <is>
          <t>number</t>
        </is>
      </c>
      <c r="E17" s="40" t="inlineStr">
        <is>
          <t>Closed-history retention window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StandardWeeklyHours</t>
        </is>
      </c>
      <c r="C18" s="40" t="n">
        <v>40</v>
      </c>
      <c r="D18" s="40" t="inlineStr">
        <is>
          <t>number</t>
        </is>
      </c>
      <c r="E18" s="40" t="inlineStr">
        <is>
          <t>Paid hours represented by one full-time equivalent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  <row r="501">
      <c r="B501" s="43" t="n"/>
      <c r="C501" s="43" t="n"/>
      <c r="D501" s="43" t="n"/>
      <c r="E501" s="43" t="n"/>
    </row>
    <row r="502">
      <c r="B502" s="43" t="n"/>
      <c r="C502" s="43" t="n"/>
      <c r="D502" s="43" t="n"/>
      <c r="E502" s="43" t="n"/>
    </row>
    <row r="503">
      <c r="B503" s="43" t="n"/>
      <c r="C503" s="43" t="n"/>
      <c r="D503" s="43" t="n"/>
      <c r="E503" s="43" t="n"/>
    </row>
    <row r="504">
      <c r="B504" s="43" t="n"/>
      <c r="C504" s="43" t="n"/>
      <c r="D504" s="43" t="n"/>
      <c r="E504" s="43" t="n"/>
    </row>
    <row r="505">
      <c r="B505" s="43" t="n"/>
      <c r="C505" s="43" t="n"/>
      <c r="D505" s="43" t="n"/>
      <c r="E505" s="43" t="n"/>
    </row>
    <row r="506">
      <c r="B506" s="43" t="n"/>
      <c r="C506" s="43" t="n"/>
      <c r="D506" s="43" t="n"/>
      <c r="E506" s="43" t="n"/>
    </row>
    <row r="507">
      <c r="B507" s="43" t="n"/>
      <c r="C507" s="43" t="n"/>
      <c r="D507" s="43" t="n"/>
      <c r="E507" s="43" t="n"/>
    </row>
    <row r="508">
      <c r="B508" s="43" t="n"/>
      <c r="C508" s="43" t="n"/>
      <c r="D508" s="43" t="n"/>
      <c r="E508" s="43" t="n"/>
    </row>
    <row r="509">
      <c r="B509" s="43" t="n"/>
      <c r="C509" s="43" t="n"/>
      <c r="D509" s="43" t="n"/>
      <c r="E509" s="43" t="n"/>
    </row>
    <row r="510">
      <c r="B510" s="43" t="n"/>
      <c r="C510" s="43" t="n"/>
      <c r="D510" s="43" t="n"/>
      <c r="E510" s="43" t="n"/>
    </row>
    <row r="511">
      <c r="B511" s="43" t="n"/>
      <c r="C511" s="43" t="n"/>
      <c r="D511" s="43" t="n"/>
      <c r="E511" s="43" t="n"/>
    </row>
    <row r="512">
      <c r="B512" s="43" t="n"/>
      <c r="C512" s="43" t="n"/>
      <c r="D512" s="43" t="n"/>
      <c r="E512" s="43" t="n"/>
    </row>
    <row r="513">
      <c r="B513" s="43" t="n"/>
      <c r="C513" s="43" t="n"/>
      <c r="D513" s="43" t="n"/>
      <c r="E513" s="43" t="n"/>
    </row>
    <row r="514">
      <c r="B514" s="43" t="n"/>
      <c r="C514" s="43" t="n"/>
      <c r="D514" s="43" t="n"/>
      <c r="E514" s="43" t="n"/>
    </row>
    <row r="515">
      <c r="B515" s="43" t="n"/>
      <c r="C515" s="43" t="n"/>
      <c r="D515" s="43" t="n"/>
      <c r="E515" s="43" t="n"/>
    </row>
    <row r="516">
      <c r="B516" s="43" t="n"/>
      <c r="C516" s="43" t="n"/>
      <c r="D516" s="43" t="n"/>
      <c r="E516" s="43" t="n"/>
    </row>
    <row r="517">
      <c r="B517" s="43" t="n"/>
      <c r="C517" s="43" t="n"/>
      <c r="D517" s="43" t="n"/>
      <c r="E517" s="43" t="n"/>
    </row>
    <row r="518">
      <c r="B518" s="43" t="n"/>
      <c r="C518" s="43" t="n"/>
      <c r="D518" s="43" t="n"/>
      <c r="E518" s="43" t="n"/>
    </row>
    <row r="519">
      <c r="B519" s="43" t="n"/>
      <c r="C519" s="43" t="n"/>
      <c r="D519" s="43" t="n"/>
      <c r="E519" s="43" t="n"/>
    </row>
    <row r="520">
      <c r="B520" s="43" t="n"/>
      <c r="C520" s="43" t="n"/>
      <c r="D520" s="43" t="n"/>
      <c r="E520" s="43" t="n"/>
    </row>
    <row r="521">
      <c r="B521" s="43" t="n"/>
      <c r="C521" s="43" t="n"/>
      <c r="D521" s="43" t="n"/>
      <c r="E521" s="43" t="n"/>
    </row>
    <row r="522">
      <c r="B522" s="43" t="n"/>
      <c r="C522" s="43" t="n"/>
      <c r="D522" s="43" t="n"/>
      <c r="E522" s="43" t="n"/>
    </row>
    <row r="523">
      <c r="B523" s="43" t="n"/>
      <c r="C523" s="43" t="n"/>
      <c r="D523" s="43" t="n"/>
      <c r="E523" s="43" t="n"/>
    </row>
    <row r="524">
      <c r="B524" s="43" t="n"/>
      <c r="C524" s="43" t="n"/>
      <c r="D524" s="43" t="n"/>
      <c r="E524" s="43" t="n"/>
    </row>
    <row r="525">
      <c r="B525" s="43" t="n"/>
      <c r="C525" s="43" t="n"/>
      <c r="D525" s="43" t="n"/>
      <c r="E525" s="43" t="n"/>
    </row>
    <row r="526">
      <c r="B526" s="43" t="n"/>
      <c r="C526" s="43" t="n"/>
      <c r="D526" s="43" t="n"/>
      <c r="E526" s="43" t="n"/>
    </row>
    <row r="527">
      <c r="B527" s="43" t="n"/>
      <c r="C527" s="43" t="n"/>
      <c r="D527" s="43" t="n"/>
      <c r="E527" s="43" t="n"/>
    </row>
    <row r="528">
      <c r="B528" s="43" t="n"/>
      <c r="C528" s="43" t="n"/>
      <c r="D528" s="43" t="n"/>
      <c r="E528" s="43" t="n"/>
    </row>
    <row r="529">
      <c r="B529" s="43" t="n"/>
      <c r="C529" s="43" t="n"/>
      <c r="D529" s="43" t="n"/>
      <c r="E529" s="43" t="n"/>
    </row>
    <row r="530">
      <c r="B530" s="43" t="n"/>
      <c r="C530" s="43" t="n"/>
      <c r="D530" s="43" t="n"/>
      <c r="E530" s="43" t="n"/>
    </row>
    <row r="531">
      <c r="B531" s="43" t="n"/>
      <c r="C531" s="43" t="n"/>
      <c r="D531" s="43" t="n"/>
      <c r="E531" s="43" t="n"/>
    </row>
    <row r="532">
      <c r="B532" s="43" t="n"/>
      <c r="C532" s="43" t="n"/>
      <c r="D532" s="43" t="n"/>
      <c r="E532" s="43" t="n"/>
    </row>
    <row r="533">
      <c r="B533" s="43" t="n"/>
      <c r="C533" s="43" t="n"/>
      <c r="D533" s="43" t="n"/>
      <c r="E533" s="43" t="n"/>
    </row>
    <row r="534">
      <c r="B534" s="43" t="n"/>
      <c r="C534" s="43" t="n"/>
      <c r="D534" s="43" t="n"/>
      <c r="E534" s="43" t="n"/>
    </row>
    <row r="535">
      <c r="B535" s="43" t="n"/>
      <c r="C535" s="43" t="n"/>
      <c r="D535" s="43" t="n"/>
      <c r="E535" s="43" t="n"/>
    </row>
    <row r="536">
      <c r="B536" s="43" t="n"/>
      <c r="C536" s="43" t="n"/>
      <c r="D536" s="43" t="n"/>
      <c r="E536" s="43" t="n"/>
    </row>
    <row r="537">
      <c r="B537" s="43" t="n"/>
      <c r="C537" s="43" t="n"/>
      <c r="D537" s="43" t="n"/>
      <c r="E537" s="43" t="n"/>
    </row>
    <row r="538">
      <c r="B538" s="43" t="n"/>
      <c r="C538" s="43" t="n"/>
      <c r="D538" s="43" t="n"/>
      <c r="E538" s="43" t="n"/>
    </row>
    <row r="539">
      <c r="B539" s="43" t="n"/>
      <c r="C539" s="43" t="n"/>
      <c r="D539" s="43" t="n"/>
      <c r="E539" s="43" t="n"/>
    </row>
    <row r="540">
      <c r="B540" s="43" t="n"/>
      <c r="C540" s="43" t="n"/>
      <c r="D540" s="43" t="n"/>
      <c r="E540" s="43" t="n"/>
    </row>
    <row r="541">
      <c r="B541" s="43" t="n"/>
      <c r="C541" s="43" t="n"/>
      <c r="D541" s="43" t="n"/>
      <c r="E541" s="43" t="n"/>
    </row>
    <row r="542">
      <c r="B542" s="43" t="n"/>
      <c r="C542" s="43" t="n"/>
      <c r="D542" s="43" t="n"/>
      <c r="E542" s="43" t="n"/>
    </row>
    <row r="543">
      <c r="B543" s="43" t="n"/>
      <c r="C543" s="43" t="n"/>
      <c r="D543" s="43" t="n"/>
      <c r="E543" s="43" t="n"/>
    </row>
    <row r="544">
      <c r="B544" s="43" t="n"/>
      <c r="C544" s="43" t="n"/>
      <c r="D544" s="43" t="n"/>
      <c r="E544" s="43" t="n"/>
    </row>
    <row r="545">
      <c r="B545" s="43" t="n"/>
      <c r="C545" s="43" t="n"/>
      <c r="D545" s="43" t="n"/>
      <c r="E545" s="43" t="n"/>
    </row>
    <row r="546">
      <c r="B546" s="43" t="n"/>
      <c r="C546" s="43" t="n"/>
      <c r="D546" s="43" t="n"/>
      <c r="E546" s="43" t="n"/>
    </row>
    <row r="547">
      <c r="B547" s="43" t="n"/>
      <c r="C547" s="43" t="n"/>
      <c r="D547" s="43" t="n"/>
      <c r="E547" s="43" t="n"/>
    </row>
    <row r="548">
      <c r="B548" s="43" t="n"/>
      <c r="C548" s="43" t="n"/>
      <c r="D548" s="43" t="n"/>
      <c r="E548" s="43" t="n"/>
    </row>
    <row r="549">
      <c r="B549" s="43" t="n"/>
      <c r="C549" s="43" t="n"/>
      <c r="D549" s="43" t="n"/>
      <c r="E549" s="43" t="n"/>
    </row>
    <row r="550">
      <c r="B550" s="43" t="n"/>
      <c r="C550" s="43" t="n"/>
      <c r="D550" s="43" t="n"/>
      <c r="E550" s="43" t="n"/>
    </row>
    <row r="551">
      <c r="B551" s="43" t="n"/>
      <c r="C551" s="43" t="n"/>
      <c r="D551" s="43" t="n"/>
      <c r="E551" s="43" t="n"/>
    </row>
    <row r="552">
      <c r="B552" s="43" t="n"/>
      <c r="C552" s="43" t="n"/>
      <c r="D552" s="43" t="n"/>
      <c r="E552" s="43" t="n"/>
    </row>
    <row r="553">
      <c r="B553" s="43" t="n"/>
      <c r="C553" s="43" t="n"/>
      <c r="D553" s="43" t="n"/>
      <c r="E553" s="43" t="n"/>
    </row>
    <row r="554">
      <c r="B554" s="43" t="n"/>
      <c r="C554" s="43" t="n"/>
      <c r="D554" s="43" t="n"/>
      <c r="E554" s="43" t="n"/>
    </row>
    <row r="555">
      <c r="B555" s="43" t="n"/>
      <c r="C555" s="43" t="n"/>
      <c r="D555" s="43" t="n"/>
      <c r="E555" s="43" t="n"/>
    </row>
    <row r="556">
      <c r="B556" s="43" t="n"/>
      <c r="C556" s="43" t="n"/>
      <c r="D556" s="43" t="n"/>
      <c r="E556" s="43" t="n"/>
    </row>
    <row r="557">
      <c r="B557" s="43" t="n"/>
      <c r="C557" s="43" t="n"/>
      <c r="D557" s="43" t="n"/>
      <c r="E557" s="43" t="n"/>
    </row>
    <row r="558">
      <c r="B558" s="43" t="n"/>
      <c r="C558" s="43" t="n"/>
      <c r="D558" s="43" t="n"/>
      <c r="E558" s="43" t="n"/>
    </row>
    <row r="559">
      <c r="B559" s="43" t="n"/>
      <c r="C559" s="43" t="n"/>
      <c r="D559" s="43" t="n"/>
      <c r="E559" s="43" t="n"/>
    </row>
    <row r="560">
      <c r="B560" s="43" t="n"/>
      <c r="C560" s="43" t="n"/>
      <c r="D560" s="43" t="n"/>
      <c r="E560" s="43" t="n"/>
    </row>
    <row r="561">
      <c r="B561" s="43" t="n"/>
      <c r="C561" s="43" t="n"/>
      <c r="D561" s="43" t="n"/>
      <c r="E561" s="43" t="n"/>
    </row>
    <row r="562">
      <c r="B562" s="43" t="n"/>
      <c r="C562" s="43" t="n"/>
      <c r="D562" s="43" t="n"/>
      <c r="E562" s="43" t="n"/>
    </row>
    <row r="563">
      <c r="B563" s="43" t="n"/>
      <c r="C563" s="43" t="n"/>
      <c r="D563" s="43" t="n"/>
      <c r="E563" s="43" t="n"/>
    </row>
    <row r="564">
      <c r="B564" s="43" t="n"/>
      <c r="C564" s="43" t="n"/>
      <c r="D564" s="43" t="n"/>
      <c r="E564" s="43" t="n"/>
    </row>
    <row r="565">
      <c r="B565" s="43" t="n"/>
      <c r="C565" s="43" t="n"/>
      <c r="D565" s="43" t="n"/>
      <c r="E565" s="43" t="n"/>
    </row>
    <row r="566">
      <c r="B566" s="43" t="n"/>
      <c r="C566" s="43" t="n"/>
      <c r="D566" s="43" t="n"/>
      <c r="E566" s="43" t="n"/>
    </row>
    <row r="567">
      <c r="B567" s="43" t="n"/>
      <c r="C567" s="43" t="n"/>
      <c r="D567" s="43" t="n"/>
      <c r="E567" s="43" t="n"/>
    </row>
    <row r="568">
      <c r="B568" s="43" t="n"/>
      <c r="C568" s="43" t="n"/>
      <c r="D568" s="43" t="n"/>
      <c r="E568" s="43" t="n"/>
    </row>
    <row r="569">
      <c r="B569" s="43" t="n"/>
      <c r="C569" s="43" t="n"/>
      <c r="D569" s="43" t="n"/>
      <c r="E569" s="43" t="n"/>
    </row>
    <row r="570">
      <c r="B570" s="43" t="n"/>
      <c r="C570" s="43" t="n"/>
      <c r="D570" s="43" t="n"/>
      <c r="E570" s="43" t="n"/>
    </row>
    <row r="571">
      <c r="B571" s="43" t="n"/>
      <c r="C571" s="43" t="n"/>
      <c r="D571" s="43" t="n"/>
      <c r="E571" s="43" t="n"/>
    </row>
    <row r="572">
      <c r="B572" s="43" t="n"/>
      <c r="C572" s="43" t="n"/>
      <c r="D572" s="43" t="n"/>
      <c r="E572" s="43" t="n"/>
    </row>
    <row r="573">
      <c r="B573" s="43" t="n"/>
      <c r="C573" s="43" t="n"/>
      <c r="D573" s="43" t="n"/>
      <c r="E573" s="43" t="n"/>
    </row>
    <row r="574">
      <c r="B574" s="43" t="n"/>
      <c r="C574" s="43" t="n"/>
      <c r="D574" s="43" t="n"/>
      <c r="E574" s="43" t="n"/>
    </row>
    <row r="575">
      <c r="B575" s="43" t="n"/>
      <c r="C575" s="43" t="n"/>
      <c r="D575" s="43" t="n"/>
      <c r="E575" s="43" t="n"/>
    </row>
    <row r="576">
      <c r="B576" s="43" t="n"/>
      <c r="C576" s="43" t="n"/>
      <c r="D576" s="43" t="n"/>
      <c r="E576" s="43" t="n"/>
    </row>
    <row r="577">
      <c r="B577" s="43" t="n"/>
      <c r="C577" s="43" t="n"/>
      <c r="D577" s="43" t="n"/>
      <c r="E577" s="43" t="n"/>
    </row>
    <row r="578">
      <c r="B578" s="43" t="n"/>
      <c r="C578" s="43" t="n"/>
      <c r="D578" s="43" t="n"/>
      <c r="E578" s="43" t="n"/>
    </row>
    <row r="579">
      <c r="B579" s="43" t="n"/>
      <c r="C579" s="43" t="n"/>
      <c r="D579" s="43" t="n"/>
      <c r="E579" s="43" t="n"/>
    </row>
    <row r="580">
      <c r="B580" s="43" t="n"/>
      <c r="C580" s="43" t="n"/>
      <c r="D580" s="43" t="n"/>
      <c r="E580" s="43" t="n"/>
    </row>
    <row r="581">
      <c r="B581" s="43" t="n"/>
      <c r="C581" s="43" t="n"/>
      <c r="D581" s="43" t="n"/>
      <c r="E581" s="43" t="n"/>
    </row>
    <row r="582">
      <c r="B582" s="43" t="n"/>
      <c r="C582" s="43" t="n"/>
      <c r="D582" s="43" t="n"/>
      <c r="E582" s="43" t="n"/>
    </row>
    <row r="583">
      <c r="B583" s="43" t="n"/>
      <c r="C583" s="43" t="n"/>
      <c r="D583" s="43" t="n"/>
      <c r="E583" s="43" t="n"/>
    </row>
    <row r="584">
      <c r="B584" s="43" t="n"/>
      <c r="C584" s="43" t="n"/>
      <c r="D584" s="43" t="n"/>
      <c r="E584" s="43" t="n"/>
    </row>
    <row r="585">
      <c r="B585" s="43" t="n"/>
      <c r="C585" s="43" t="n"/>
      <c r="D585" s="43" t="n"/>
      <c r="E585" s="43" t="n"/>
    </row>
    <row r="586">
      <c r="B586" s="43" t="n"/>
      <c r="C586" s="43" t="n"/>
      <c r="D586" s="43" t="n"/>
      <c r="E586" s="43" t="n"/>
    </row>
    <row r="587">
      <c r="B587" s="43" t="n"/>
      <c r="C587" s="43" t="n"/>
      <c r="D587" s="43" t="n"/>
      <c r="E587" s="43" t="n"/>
    </row>
    <row r="588">
      <c r="B588" s="43" t="n"/>
      <c r="C588" s="43" t="n"/>
      <c r="D588" s="43" t="n"/>
      <c r="E588" s="43" t="n"/>
    </row>
    <row r="589">
      <c r="B589" s="43" t="n"/>
      <c r="C589" s="43" t="n"/>
      <c r="D589" s="43" t="n"/>
      <c r="E589" s="43" t="n"/>
    </row>
    <row r="590">
      <c r="B590" s="43" t="n"/>
      <c r="C590" s="43" t="n"/>
      <c r="D590" s="43" t="n"/>
      <c r="E590" s="43" t="n"/>
    </row>
    <row r="591">
      <c r="B591" s="43" t="n"/>
      <c r="C591" s="43" t="n"/>
      <c r="D591" s="43" t="n"/>
      <c r="E591" s="43" t="n"/>
    </row>
    <row r="592">
      <c r="B592" s="43" t="n"/>
      <c r="C592" s="43" t="n"/>
      <c r="D592" s="43" t="n"/>
      <c r="E592" s="43" t="n"/>
    </row>
    <row r="593">
      <c r="B593" s="43" t="n"/>
      <c r="C593" s="43" t="n"/>
      <c r="D593" s="43" t="n"/>
      <c r="E593" s="43" t="n"/>
    </row>
    <row r="594">
      <c r="B594" s="43" t="n"/>
      <c r="C594" s="43" t="n"/>
      <c r="D594" s="43" t="n"/>
      <c r="E594" s="43" t="n"/>
    </row>
    <row r="595">
      <c r="B595" s="43" t="n"/>
      <c r="C595" s="43" t="n"/>
      <c r="D595" s="43" t="n"/>
      <c r="E595" s="43" t="n"/>
    </row>
    <row r="596">
      <c r="B596" s="43" t="n"/>
      <c r="C596" s="43" t="n"/>
      <c r="D596" s="43" t="n"/>
      <c r="E596" s="43" t="n"/>
    </row>
    <row r="597">
      <c r="B597" s="43" t="n"/>
      <c r="C597" s="43" t="n"/>
      <c r="D597" s="43" t="n"/>
      <c r="E597" s="43" t="n"/>
    </row>
    <row r="598">
      <c r="B598" s="43" t="n"/>
      <c r="C598" s="43" t="n"/>
      <c r="D598" s="43" t="n"/>
      <c r="E598" s="43" t="n"/>
    </row>
    <row r="599">
      <c r="B599" s="43" t="n"/>
      <c r="C599" s="43" t="n"/>
      <c r="D599" s="43" t="n"/>
      <c r="E599" s="43" t="n"/>
    </row>
    <row r="600">
      <c r="B600" s="43" t="n"/>
      <c r="C600" s="43" t="n"/>
      <c r="D600" s="43" t="n"/>
      <c r="E600" s="43" t="n"/>
    </row>
    <row r="601">
      <c r="B601" s="43" t="n"/>
      <c r="C601" s="43" t="n"/>
      <c r="D601" s="43" t="n"/>
      <c r="E601" s="43" t="n"/>
    </row>
    <row r="602">
      <c r="B602" s="43" t="n"/>
      <c r="C602" s="43" t="n"/>
      <c r="D602" s="43" t="n"/>
      <c r="E602" s="43" t="n"/>
    </row>
    <row r="603">
      <c r="B603" s="43" t="n"/>
      <c r="C603" s="43" t="n"/>
      <c r="D603" s="43" t="n"/>
      <c r="E603" s="43" t="n"/>
    </row>
    <row r="604">
      <c r="B604" s="43" t="n"/>
      <c r="C604" s="43" t="n"/>
      <c r="D604" s="43" t="n"/>
      <c r="E604" s="43" t="n"/>
    </row>
    <row r="605">
      <c r="B605" s="43" t="n"/>
      <c r="C605" s="43" t="n"/>
      <c r="D605" s="43" t="n"/>
      <c r="E605" s="43" t="n"/>
    </row>
    <row r="606">
      <c r="B606" s="43" t="n"/>
      <c r="C606" s="43" t="n"/>
      <c r="D606" s="43" t="n"/>
      <c r="E606" s="43" t="n"/>
    </row>
    <row r="607">
      <c r="B607" s="43" t="n"/>
      <c r="C607" s="43" t="n"/>
      <c r="D607" s="43" t="n"/>
      <c r="E607" s="43" t="n"/>
    </row>
    <row r="608">
      <c r="B608" s="43" t="n"/>
      <c r="C608" s="43" t="n"/>
      <c r="D608" s="43" t="n"/>
      <c r="E608" s="43" t="n"/>
    </row>
    <row r="609">
      <c r="B609" s="43" t="n"/>
      <c r="C609" s="43" t="n"/>
      <c r="D609" s="43" t="n"/>
      <c r="E609" s="43" t="n"/>
    </row>
    <row r="610">
      <c r="B610" s="43" t="n"/>
      <c r="C610" s="43" t="n"/>
      <c r="D610" s="43" t="n"/>
      <c r="E610" s="43" t="n"/>
    </row>
    <row r="611">
      <c r="B611" s="43" t="n"/>
      <c r="C611" s="43" t="n"/>
      <c r="D611" s="43" t="n"/>
      <c r="E611" s="43" t="n"/>
    </row>
    <row r="612">
      <c r="B612" s="43" t="n"/>
      <c r="C612" s="43" t="n"/>
      <c r="D612" s="43" t="n"/>
      <c r="E612" s="43" t="n"/>
    </row>
    <row r="613">
      <c r="B613" s="43" t="n"/>
      <c r="C613" s="43" t="n"/>
      <c r="D613" s="43" t="n"/>
      <c r="E613" s="43" t="n"/>
    </row>
    <row r="614">
      <c r="B614" s="43" t="n"/>
      <c r="C614" s="43" t="n"/>
      <c r="D614" s="43" t="n"/>
      <c r="E614" s="43" t="n"/>
    </row>
    <row r="615">
      <c r="B615" s="43" t="n"/>
      <c r="C615" s="43" t="n"/>
      <c r="D615" s="43" t="n"/>
      <c r="E615" s="43" t="n"/>
    </row>
    <row r="616">
      <c r="B616" s="43" t="n"/>
      <c r="C616" s="43" t="n"/>
      <c r="D616" s="43" t="n"/>
      <c r="E616" s="43" t="n"/>
    </row>
    <row r="617">
      <c r="B617" s="43" t="n"/>
      <c r="C617" s="43" t="n"/>
      <c r="D617" s="43" t="n"/>
      <c r="E617" s="43" t="n"/>
    </row>
    <row r="618">
      <c r="B618" s="43" t="n"/>
      <c r="C618" s="43" t="n"/>
      <c r="D618" s="43" t="n"/>
      <c r="E618" s="43" t="n"/>
    </row>
    <row r="619">
      <c r="B619" s="43" t="n"/>
      <c r="C619" s="43" t="n"/>
      <c r="D619" s="43" t="n"/>
      <c r="E619" s="43" t="n"/>
    </row>
    <row r="620">
      <c r="B620" s="43" t="n"/>
      <c r="C620" s="43" t="n"/>
      <c r="D620" s="43" t="n"/>
      <c r="E620" s="43" t="n"/>
    </row>
    <row r="621">
      <c r="B621" s="43" t="n"/>
      <c r="C621" s="43" t="n"/>
      <c r="D621" s="43" t="n"/>
      <c r="E621" s="43" t="n"/>
    </row>
    <row r="622">
      <c r="B622" s="43" t="n"/>
      <c r="C622" s="43" t="n"/>
      <c r="D622" s="43" t="n"/>
      <c r="E622" s="43" t="n"/>
    </row>
    <row r="623">
      <c r="B623" s="43" t="n"/>
      <c r="C623" s="43" t="n"/>
      <c r="D623" s="43" t="n"/>
      <c r="E623" s="43" t="n"/>
    </row>
    <row r="624">
      <c r="B624" s="43" t="n"/>
      <c r="C624" s="43" t="n"/>
      <c r="D624" s="43" t="n"/>
      <c r="E624" s="43" t="n"/>
    </row>
    <row r="625">
      <c r="B625" s="43" t="n"/>
      <c r="C625" s="43" t="n"/>
      <c r="D625" s="43" t="n"/>
      <c r="E625" s="43" t="n"/>
    </row>
    <row r="626">
      <c r="B626" s="43" t="n"/>
      <c r="C626" s="43" t="n"/>
      <c r="D626" s="43" t="n"/>
      <c r="E626" s="43" t="n"/>
    </row>
    <row r="627">
      <c r="B627" s="43" t="n"/>
      <c r="C627" s="43" t="n"/>
      <c r="D627" s="43" t="n"/>
      <c r="E627" s="43" t="n"/>
    </row>
    <row r="628">
      <c r="B628" s="43" t="n"/>
      <c r="C628" s="43" t="n"/>
      <c r="D628" s="43" t="n"/>
      <c r="E628" s="43" t="n"/>
    </row>
    <row r="629">
      <c r="B629" s="43" t="n"/>
      <c r="C629" s="43" t="n"/>
      <c r="D629" s="43" t="n"/>
      <c r="E629" s="43" t="n"/>
    </row>
    <row r="630">
      <c r="B630" s="43" t="n"/>
      <c r="C630" s="43" t="n"/>
      <c r="D630" s="43" t="n"/>
      <c r="E630" s="43" t="n"/>
    </row>
    <row r="631">
      <c r="B631" s="43" t="n"/>
      <c r="C631" s="43" t="n"/>
      <c r="D631" s="43" t="n"/>
      <c r="E631" s="43" t="n"/>
    </row>
    <row r="632">
      <c r="B632" s="43" t="n"/>
      <c r="C632" s="43" t="n"/>
      <c r="D632" s="43" t="n"/>
      <c r="E632" s="43" t="n"/>
    </row>
    <row r="633">
      <c r="B633" s="43" t="n"/>
      <c r="C633" s="43" t="n"/>
      <c r="D633" s="43" t="n"/>
      <c r="E633" s="43" t="n"/>
    </row>
    <row r="634">
      <c r="B634" s="43" t="n"/>
      <c r="C634" s="43" t="n"/>
      <c r="D634" s="43" t="n"/>
      <c r="E634" s="43" t="n"/>
    </row>
    <row r="635">
      <c r="B635" s="43" t="n"/>
      <c r="C635" s="43" t="n"/>
      <c r="D635" s="43" t="n"/>
      <c r="E635" s="43" t="n"/>
    </row>
    <row r="636">
      <c r="B636" s="43" t="n"/>
      <c r="C636" s="43" t="n"/>
      <c r="D636" s="43" t="n"/>
      <c r="E636" s="43" t="n"/>
    </row>
    <row r="637">
      <c r="B637" s="43" t="n"/>
      <c r="C637" s="43" t="n"/>
      <c r="D637" s="43" t="n"/>
      <c r="E637" s="43" t="n"/>
    </row>
    <row r="638">
      <c r="B638" s="43" t="n"/>
      <c r="C638" s="43" t="n"/>
      <c r="D638" s="43" t="n"/>
      <c r="E638" s="43" t="n"/>
    </row>
    <row r="639">
      <c r="B639" s="43" t="n"/>
      <c r="C639" s="43" t="n"/>
      <c r="D639" s="43" t="n"/>
      <c r="E639" s="43" t="n"/>
    </row>
    <row r="640">
      <c r="B640" s="43" t="n"/>
      <c r="C640" s="43" t="n"/>
      <c r="D640" s="43" t="n"/>
      <c r="E640" s="43" t="n"/>
    </row>
    <row r="641">
      <c r="B641" s="43" t="n"/>
      <c r="C641" s="43" t="n"/>
      <c r="D641" s="43" t="n"/>
      <c r="E641" s="43" t="n"/>
    </row>
    <row r="642">
      <c r="B642" s="43" t="n"/>
      <c r="C642" s="43" t="n"/>
      <c r="D642" s="43" t="n"/>
      <c r="E642" s="43" t="n"/>
    </row>
    <row r="643">
      <c r="B643" s="43" t="n"/>
      <c r="C643" s="43" t="n"/>
      <c r="D643" s="43" t="n"/>
      <c r="E643" s="43" t="n"/>
    </row>
    <row r="644">
      <c r="B644" s="43" t="n"/>
      <c r="C644" s="43" t="n"/>
      <c r="D644" s="43" t="n"/>
      <c r="E644" s="43" t="n"/>
    </row>
    <row r="645">
      <c r="B645" s="43" t="n"/>
      <c r="C645" s="43" t="n"/>
      <c r="D645" s="43" t="n"/>
      <c r="E645" s="43" t="n"/>
    </row>
    <row r="646">
      <c r="B646" s="43" t="n"/>
      <c r="C646" s="43" t="n"/>
      <c r="D646" s="43" t="n"/>
      <c r="E646" s="43" t="n"/>
    </row>
    <row r="647">
      <c r="B647" s="43" t="n"/>
      <c r="C647" s="43" t="n"/>
      <c r="D647" s="43" t="n"/>
      <c r="E647" s="43" t="n"/>
    </row>
    <row r="648">
      <c r="B648" s="43" t="n"/>
      <c r="C648" s="43" t="n"/>
      <c r="D648" s="43" t="n"/>
      <c r="E648" s="43" t="n"/>
    </row>
    <row r="649">
      <c r="B649" s="43" t="n"/>
      <c r="C649" s="43" t="n"/>
      <c r="D649" s="43" t="n"/>
      <c r="E649" s="43" t="n"/>
    </row>
    <row r="650">
      <c r="B650" s="43" t="n"/>
      <c r="C650" s="43" t="n"/>
      <c r="D650" s="43" t="n"/>
      <c r="E650" s="43" t="n"/>
    </row>
    <row r="651">
      <c r="B651" s="43" t="n"/>
      <c r="C651" s="43" t="n"/>
      <c r="D651" s="43" t="n"/>
      <c r="E651" s="43" t="n"/>
    </row>
    <row r="652">
      <c r="B652" s="43" t="n"/>
      <c r="C652" s="43" t="n"/>
      <c r="D652" s="43" t="n"/>
      <c r="E652" s="43" t="n"/>
    </row>
    <row r="653">
      <c r="B653" s="43" t="n"/>
      <c r="C653" s="43" t="n"/>
      <c r="D653" s="43" t="n"/>
      <c r="E653" s="43" t="n"/>
    </row>
    <row r="654">
      <c r="B654" s="43" t="n"/>
      <c r="C654" s="43" t="n"/>
      <c r="D654" s="43" t="n"/>
      <c r="E654" s="43" t="n"/>
    </row>
    <row r="655">
      <c r="B655" s="43" t="n"/>
      <c r="C655" s="43" t="n"/>
      <c r="D655" s="43" t="n"/>
      <c r="E655" s="43" t="n"/>
    </row>
    <row r="656">
      <c r="B656" s="43" t="n"/>
      <c r="C656" s="43" t="n"/>
      <c r="D656" s="43" t="n"/>
      <c r="E656" s="43" t="n"/>
    </row>
    <row r="657">
      <c r="B657" s="43" t="n"/>
      <c r="C657" s="43" t="n"/>
      <c r="D657" s="43" t="n"/>
      <c r="E657" s="43" t="n"/>
    </row>
    <row r="658">
      <c r="B658" s="43" t="n"/>
      <c r="C658" s="43" t="n"/>
      <c r="D658" s="43" t="n"/>
      <c r="E658" s="43" t="n"/>
    </row>
    <row r="659">
      <c r="B659" s="43" t="n"/>
      <c r="C659" s="43" t="n"/>
      <c r="D659" s="43" t="n"/>
      <c r="E659" s="43" t="n"/>
    </row>
    <row r="660">
      <c r="B660" s="43" t="n"/>
      <c r="C660" s="43" t="n"/>
      <c r="D660" s="43" t="n"/>
      <c r="E660" s="43" t="n"/>
    </row>
    <row r="661">
      <c r="B661" s="43" t="n"/>
      <c r="C661" s="43" t="n"/>
      <c r="D661" s="43" t="n"/>
      <c r="E661" s="43" t="n"/>
    </row>
    <row r="662">
      <c r="B662" s="43" t="n"/>
      <c r="C662" s="43" t="n"/>
      <c r="D662" s="43" t="n"/>
      <c r="E662" s="43" t="n"/>
    </row>
    <row r="663">
      <c r="B663" s="43" t="n"/>
      <c r="C663" s="43" t="n"/>
      <c r="D663" s="43" t="n"/>
      <c r="E663" s="43" t="n"/>
    </row>
    <row r="664">
      <c r="B664" s="43" t="n"/>
      <c r="C664" s="43" t="n"/>
      <c r="D664" s="43" t="n"/>
      <c r="E664" s="43" t="n"/>
    </row>
    <row r="665">
      <c r="B665" s="43" t="n"/>
      <c r="C665" s="43" t="n"/>
      <c r="D665" s="43" t="n"/>
      <c r="E665" s="43" t="n"/>
    </row>
    <row r="666">
      <c r="B666" s="43" t="n"/>
      <c r="C666" s="43" t="n"/>
      <c r="D666" s="43" t="n"/>
      <c r="E666" s="43" t="n"/>
    </row>
    <row r="667">
      <c r="B667" s="43" t="n"/>
      <c r="C667" s="43" t="n"/>
      <c r="D667" s="43" t="n"/>
      <c r="E667" s="43" t="n"/>
    </row>
    <row r="668">
      <c r="B668" s="43" t="n"/>
      <c r="C668" s="43" t="n"/>
      <c r="D668" s="43" t="n"/>
      <c r="E668" s="43" t="n"/>
    </row>
    <row r="669">
      <c r="B669" s="43" t="n"/>
      <c r="C669" s="43" t="n"/>
      <c r="D669" s="43" t="n"/>
      <c r="E669" s="43" t="n"/>
    </row>
    <row r="670">
      <c r="B670" s="43" t="n"/>
      <c r="C670" s="43" t="n"/>
      <c r="D670" s="43" t="n"/>
      <c r="E670" s="43" t="n"/>
    </row>
    <row r="671">
      <c r="B671" s="43" t="n"/>
      <c r="C671" s="43" t="n"/>
      <c r="D671" s="43" t="n"/>
      <c r="E671" s="43" t="n"/>
    </row>
    <row r="672">
      <c r="B672" s="43" t="n"/>
      <c r="C672" s="43" t="n"/>
      <c r="D672" s="43" t="n"/>
      <c r="E672" s="43" t="n"/>
    </row>
    <row r="673">
      <c r="B673" s="43" t="n"/>
      <c r="C673" s="43" t="n"/>
      <c r="D673" s="43" t="n"/>
      <c r="E673" s="43" t="n"/>
    </row>
    <row r="674">
      <c r="B674" s="43" t="n"/>
      <c r="C674" s="43" t="n"/>
      <c r="D674" s="43" t="n"/>
      <c r="E674" s="43" t="n"/>
    </row>
    <row r="675">
      <c r="B675" s="43" t="n"/>
      <c r="C675" s="43" t="n"/>
      <c r="D675" s="43" t="n"/>
      <c r="E675" s="43" t="n"/>
    </row>
    <row r="676">
      <c r="B676" s="43" t="n"/>
      <c r="C676" s="43" t="n"/>
      <c r="D676" s="43" t="n"/>
      <c r="E676" s="43" t="n"/>
    </row>
    <row r="677">
      <c r="B677" s="43" t="n"/>
      <c r="C677" s="43" t="n"/>
      <c r="D677" s="43" t="n"/>
      <c r="E677" s="43" t="n"/>
    </row>
    <row r="678">
      <c r="B678" s="43" t="n"/>
      <c r="C678" s="43" t="n"/>
      <c r="D678" s="43" t="n"/>
      <c r="E678" s="43" t="n"/>
    </row>
    <row r="679">
      <c r="B679" s="43" t="n"/>
      <c r="C679" s="43" t="n"/>
      <c r="D679" s="43" t="n"/>
      <c r="E679" s="43" t="n"/>
    </row>
    <row r="680">
      <c r="B680" s="43" t="n"/>
      <c r="C680" s="43" t="n"/>
      <c r="D680" s="43" t="n"/>
      <c r="E680" s="43" t="n"/>
    </row>
    <row r="681">
      <c r="B681" s="43" t="n"/>
      <c r="C681" s="43" t="n"/>
      <c r="D681" s="43" t="n"/>
      <c r="E681" s="43" t="n"/>
    </row>
    <row r="682">
      <c r="B682" s="43" t="n"/>
      <c r="C682" s="43" t="n"/>
      <c r="D682" s="43" t="n"/>
      <c r="E682" s="43" t="n"/>
    </row>
    <row r="683">
      <c r="B683" s="43" t="n"/>
      <c r="C683" s="43" t="n"/>
      <c r="D683" s="43" t="n"/>
      <c r="E683" s="43" t="n"/>
    </row>
    <row r="684">
      <c r="B684" s="43" t="n"/>
      <c r="C684" s="43" t="n"/>
      <c r="D684" s="43" t="n"/>
      <c r="E684" s="43" t="n"/>
    </row>
    <row r="685">
      <c r="B685" s="43" t="n"/>
      <c r="C685" s="43" t="n"/>
      <c r="D685" s="43" t="n"/>
      <c r="E685" s="43" t="n"/>
    </row>
    <row r="686">
      <c r="B686" s="43" t="n"/>
      <c r="C686" s="43" t="n"/>
      <c r="D686" s="43" t="n"/>
      <c r="E686" s="43" t="n"/>
    </row>
    <row r="687">
      <c r="B687" s="43" t="n"/>
      <c r="C687" s="43" t="n"/>
      <c r="D687" s="43" t="n"/>
      <c r="E687" s="43" t="n"/>
    </row>
    <row r="688">
      <c r="B688" s="43" t="n"/>
      <c r="C688" s="43" t="n"/>
      <c r="D688" s="43" t="n"/>
      <c r="E688" s="43" t="n"/>
    </row>
    <row r="689">
      <c r="B689" s="43" t="n"/>
      <c r="C689" s="43" t="n"/>
      <c r="D689" s="43" t="n"/>
      <c r="E689" s="43" t="n"/>
    </row>
    <row r="690">
      <c r="B690" s="43" t="n"/>
      <c r="C690" s="43" t="n"/>
      <c r="D690" s="43" t="n"/>
      <c r="E690" s="43" t="n"/>
    </row>
    <row r="691">
      <c r="B691" s="43" t="n"/>
      <c r="C691" s="43" t="n"/>
      <c r="D691" s="43" t="n"/>
      <c r="E691" s="43" t="n"/>
    </row>
    <row r="692">
      <c r="B692" s="43" t="n"/>
      <c r="C692" s="43" t="n"/>
      <c r="D692" s="43" t="n"/>
      <c r="E692" s="43" t="n"/>
    </row>
    <row r="693">
      <c r="B693" s="43" t="n"/>
      <c r="C693" s="43" t="n"/>
      <c r="D693" s="43" t="n"/>
      <c r="E693" s="43" t="n"/>
    </row>
    <row r="694">
      <c r="B694" s="43" t="n"/>
      <c r="C694" s="43" t="n"/>
      <c r="D694" s="43" t="n"/>
      <c r="E694" s="43" t="n"/>
    </row>
    <row r="695">
      <c r="B695" s="43" t="n"/>
      <c r="C695" s="43" t="n"/>
      <c r="D695" s="43" t="n"/>
      <c r="E695" s="43" t="n"/>
    </row>
    <row r="696">
      <c r="B696" s="43" t="n"/>
      <c r="C696" s="43" t="n"/>
      <c r="D696" s="43" t="n"/>
      <c r="E696" s="43" t="n"/>
    </row>
    <row r="697">
      <c r="B697" s="43" t="n"/>
      <c r="C697" s="43" t="n"/>
      <c r="D697" s="43" t="n"/>
      <c r="E697" s="43" t="n"/>
    </row>
    <row r="698">
      <c r="B698" s="43" t="n"/>
      <c r="C698" s="43" t="n"/>
      <c r="D698" s="43" t="n"/>
      <c r="E698" s="43" t="n"/>
    </row>
    <row r="699">
      <c r="B699" s="43" t="n"/>
      <c r="C699" s="43" t="n"/>
      <c r="D699" s="43" t="n"/>
      <c r="E699" s="43" t="n"/>
    </row>
    <row r="700">
      <c r="B700" s="43" t="n"/>
      <c r="C700" s="43" t="n"/>
      <c r="D700" s="43" t="n"/>
      <c r="E700" s="43" t="n"/>
    </row>
    <row r="701">
      <c r="B701" s="43" t="n"/>
      <c r="C701" s="43" t="n"/>
      <c r="D701" s="43" t="n"/>
      <c r="E701" s="43" t="n"/>
    </row>
    <row r="702">
      <c r="B702" s="43" t="n"/>
      <c r="C702" s="43" t="n"/>
      <c r="D702" s="43" t="n"/>
      <c r="E702" s="43" t="n"/>
    </row>
    <row r="703">
      <c r="B703" s="43" t="n"/>
      <c r="C703" s="43" t="n"/>
      <c r="D703" s="43" t="n"/>
      <c r="E703" s="43" t="n"/>
    </row>
    <row r="704">
      <c r="B704" s="43" t="n"/>
      <c r="C704" s="43" t="n"/>
      <c r="D704" s="43" t="n"/>
      <c r="E704" s="43" t="n"/>
    </row>
    <row r="705">
      <c r="B705" s="43" t="n"/>
      <c r="C705" s="43" t="n"/>
      <c r="D705" s="43" t="n"/>
      <c r="E705" s="43" t="n"/>
    </row>
    <row r="706">
      <c r="B706" s="43" t="n"/>
      <c r="C706" s="43" t="n"/>
      <c r="D706" s="43" t="n"/>
      <c r="E706" s="43" t="n"/>
    </row>
    <row r="707">
      <c r="B707" s="43" t="n"/>
      <c r="C707" s="43" t="n"/>
      <c r="D707" s="43" t="n"/>
      <c r="E707" s="43" t="n"/>
    </row>
    <row r="708">
      <c r="B708" s="43" t="n"/>
      <c r="C708" s="43" t="n"/>
      <c r="D708" s="43" t="n"/>
      <c r="E708" s="43" t="n"/>
    </row>
    <row r="709">
      <c r="B709" s="43" t="n"/>
      <c r="C709" s="43" t="n"/>
      <c r="D709" s="43" t="n"/>
      <c r="E709" s="43" t="n"/>
    </row>
    <row r="710">
      <c r="B710" s="43" t="n"/>
      <c r="C710" s="43" t="n"/>
      <c r="D710" s="43" t="n"/>
      <c r="E710" s="43" t="n"/>
    </row>
    <row r="711">
      <c r="B711" s="43" t="n"/>
      <c r="C711" s="43" t="n"/>
      <c r="D711" s="43" t="n"/>
      <c r="E711" s="43" t="n"/>
    </row>
    <row r="712">
      <c r="B712" s="43" t="n"/>
      <c r="C712" s="43" t="n"/>
      <c r="D712" s="43" t="n"/>
      <c r="E712" s="43" t="n"/>
    </row>
    <row r="713">
      <c r="B713" s="43" t="n"/>
      <c r="C713" s="43" t="n"/>
      <c r="D713" s="43" t="n"/>
      <c r="E713" s="43" t="n"/>
    </row>
    <row r="714">
      <c r="B714" s="43" t="n"/>
      <c r="C714" s="43" t="n"/>
      <c r="D714" s="43" t="n"/>
      <c r="E714" s="43" t="n"/>
    </row>
    <row r="715">
      <c r="B715" s="43" t="n"/>
      <c r="C715" s="43" t="n"/>
      <c r="D715" s="43" t="n"/>
      <c r="E715" s="43" t="n"/>
    </row>
    <row r="716">
      <c r="B716" s="43" t="n"/>
      <c r="C716" s="43" t="n"/>
      <c r="D716" s="43" t="n"/>
      <c r="E716" s="43" t="n"/>
    </row>
    <row r="717">
      <c r="B717" s="43" t="n"/>
      <c r="C717" s="43" t="n"/>
      <c r="D717" s="43" t="n"/>
      <c r="E717" s="43" t="n"/>
    </row>
    <row r="718">
      <c r="B718" s="43" t="n"/>
      <c r="C718" s="43" t="n"/>
      <c r="D718" s="43" t="n"/>
      <c r="E718" s="43" t="n"/>
    </row>
    <row r="719">
      <c r="B719" s="43" t="n"/>
      <c r="C719" s="43" t="n"/>
      <c r="D719" s="43" t="n"/>
      <c r="E719" s="43" t="n"/>
    </row>
    <row r="720">
      <c r="B720" s="43" t="n"/>
      <c r="C720" s="43" t="n"/>
      <c r="D720" s="43" t="n"/>
      <c r="E720" s="43" t="n"/>
    </row>
    <row r="721">
      <c r="B721" s="43" t="n"/>
      <c r="C721" s="43" t="n"/>
      <c r="D721" s="43" t="n"/>
      <c r="E721" s="43" t="n"/>
    </row>
    <row r="722">
      <c r="B722" s="43" t="n"/>
      <c r="C722" s="43" t="n"/>
      <c r="D722" s="43" t="n"/>
      <c r="E722" s="43" t="n"/>
    </row>
    <row r="723">
      <c r="B723" s="43" t="n"/>
      <c r="C723" s="43" t="n"/>
      <c r="D723" s="43" t="n"/>
      <c r="E723" s="43" t="n"/>
    </row>
    <row r="724">
      <c r="B724" s="43" t="n"/>
      <c r="C724" s="43" t="n"/>
      <c r="D724" s="43" t="n"/>
      <c r="E724" s="43" t="n"/>
    </row>
    <row r="725">
      <c r="B725" s="43" t="n"/>
      <c r="C725" s="43" t="n"/>
      <c r="D725" s="43" t="n"/>
      <c r="E725" s="43" t="n"/>
    </row>
    <row r="726">
      <c r="B726" s="43" t="n"/>
      <c r="C726" s="43" t="n"/>
      <c r="D726" s="43" t="n"/>
      <c r="E726" s="43" t="n"/>
    </row>
    <row r="727">
      <c r="B727" s="43" t="n"/>
      <c r="C727" s="43" t="n"/>
      <c r="D727" s="43" t="n"/>
      <c r="E727" s="43" t="n"/>
    </row>
    <row r="728">
      <c r="B728" s="43" t="n"/>
      <c r="C728" s="43" t="n"/>
      <c r="D728" s="43" t="n"/>
      <c r="E728" s="43" t="n"/>
    </row>
    <row r="729">
      <c r="B729" s="43" t="n"/>
      <c r="C729" s="43" t="n"/>
      <c r="D729" s="43" t="n"/>
      <c r="E729" s="43" t="n"/>
    </row>
    <row r="730">
      <c r="B730" s="43" t="n"/>
      <c r="C730" s="43" t="n"/>
      <c r="D730" s="43" t="n"/>
      <c r="E730" s="43" t="n"/>
    </row>
    <row r="731">
      <c r="B731" s="43" t="n"/>
      <c r="C731" s="43" t="n"/>
      <c r="D731" s="43" t="n"/>
      <c r="E731" s="43" t="n"/>
    </row>
    <row r="732">
      <c r="B732" s="43" t="n"/>
      <c r="C732" s="43" t="n"/>
      <c r="D732" s="43" t="n"/>
      <c r="E732" s="43" t="n"/>
    </row>
    <row r="733">
      <c r="B733" s="43" t="n"/>
      <c r="C733" s="43" t="n"/>
      <c r="D733" s="43" t="n"/>
      <c r="E733" s="43" t="n"/>
    </row>
    <row r="734">
      <c r="B734" s="43" t="n"/>
      <c r="C734" s="43" t="n"/>
      <c r="D734" s="43" t="n"/>
      <c r="E734" s="43" t="n"/>
    </row>
    <row r="735">
      <c r="B735" s="43" t="n"/>
      <c r="C735" s="43" t="n"/>
      <c r="D735" s="43" t="n"/>
      <c r="E735" s="43" t="n"/>
    </row>
    <row r="736">
      <c r="B736" s="43" t="n"/>
      <c r="C736" s="43" t="n"/>
      <c r="D736" s="43" t="n"/>
      <c r="E736" s="43" t="n"/>
    </row>
    <row r="737">
      <c r="B737" s="43" t="n"/>
      <c r="C737" s="43" t="n"/>
      <c r="D737" s="43" t="n"/>
      <c r="E737" s="43" t="n"/>
    </row>
    <row r="738">
      <c r="B738" s="43" t="n"/>
      <c r="C738" s="43" t="n"/>
      <c r="D738" s="43" t="n"/>
      <c r="E738" s="43" t="n"/>
    </row>
    <row r="739">
      <c r="B739" s="43" t="n"/>
      <c r="C739" s="43" t="n"/>
      <c r="D739" s="43" t="n"/>
      <c r="E739" s="43" t="n"/>
    </row>
    <row r="740">
      <c r="B740" s="43" t="n"/>
      <c r="C740" s="43" t="n"/>
      <c r="D740" s="43" t="n"/>
      <c r="E740" s="43" t="n"/>
    </row>
    <row r="741">
      <c r="B741" s="43" t="n"/>
      <c r="C741" s="43" t="n"/>
      <c r="D741" s="43" t="n"/>
      <c r="E741" s="43" t="n"/>
    </row>
    <row r="742">
      <c r="B742" s="43" t="n"/>
      <c r="C742" s="43" t="n"/>
      <c r="D742" s="43" t="n"/>
      <c r="E742" s="43" t="n"/>
    </row>
    <row r="743">
      <c r="B743" s="43" t="n"/>
      <c r="C743" s="43" t="n"/>
      <c r="D743" s="43" t="n"/>
      <c r="E743" s="43" t="n"/>
    </row>
    <row r="744">
      <c r="B744" s="43" t="n"/>
      <c r="C744" s="43" t="n"/>
      <c r="D744" s="43" t="n"/>
      <c r="E744" s="43" t="n"/>
    </row>
    <row r="745">
      <c r="B745" s="43" t="n"/>
      <c r="C745" s="43" t="n"/>
      <c r="D745" s="43" t="n"/>
      <c r="E745" s="43" t="n"/>
    </row>
    <row r="746">
      <c r="B746" s="43" t="n"/>
      <c r="C746" s="43" t="n"/>
      <c r="D746" s="43" t="n"/>
      <c r="E746" s="43" t="n"/>
    </row>
    <row r="747">
      <c r="B747" s="43" t="n"/>
      <c r="C747" s="43" t="n"/>
      <c r="D747" s="43" t="n"/>
      <c r="E747" s="43" t="n"/>
    </row>
    <row r="748">
      <c r="B748" s="43" t="n"/>
      <c r="C748" s="43" t="n"/>
      <c r="D748" s="43" t="n"/>
      <c r="E748" s="43" t="n"/>
    </row>
    <row r="749">
      <c r="B749" s="43" t="n"/>
      <c r="C749" s="43" t="n"/>
      <c r="D749" s="43" t="n"/>
      <c r="E749" s="43" t="n"/>
    </row>
    <row r="750">
      <c r="B750" s="43" t="n"/>
      <c r="C750" s="43" t="n"/>
      <c r="D750" s="43" t="n"/>
      <c r="E750" s="43" t="n"/>
    </row>
    <row r="751">
      <c r="B751" s="43" t="n"/>
      <c r="C751" s="43" t="n"/>
      <c r="D751" s="43" t="n"/>
      <c r="E751" s="43" t="n"/>
    </row>
    <row r="752">
      <c r="B752" s="43" t="n"/>
      <c r="C752" s="43" t="n"/>
      <c r="D752" s="43" t="n"/>
      <c r="E752" s="43" t="n"/>
    </row>
    <row r="753">
      <c r="B753" s="43" t="n"/>
      <c r="C753" s="43" t="n"/>
      <c r="D753" s="43" t="n"/>
      <c r="E753" s="43" t="n"/>
    </row>
    <row r="754">
      <c r="B754" s="43" t="n"/>
      <c r="C754" s="43" t="n"/>
      <c r="D754" s="43" t="n"/>
      <c r="E754" s="43" t="n"/>
    </row>
    <row r="755">
      <c r="B755" s="43" t="n"/>
      <c r="C755" s="43" t="n"/>
      <c r="D755" s="43" t="n"/>
      <c r="E755" s="43" t="n"/>
    </row>
    <row r="756">
      <c r="B756" s="43" t="n"/>
      <c r="C756" s="43" t="n"/>
      <c r="D756" s="43" t="n"/>
      <c r="E756" s="43" t="n"/>
    </row>
    <row r="757">
      <c r="B757" s="43" t="n"/>
      <c r="C757" s="43" t="n"/>
      <c r="D757" s="43" t="n"/>
      <c r="E757" s="43" t="n"/>
    </row>
    <row r="758">
      <c r="B758" s="43" t="n"/>
      <c r="C758" s="43" t="n"/>
      <c r="D758" s="43" t="n"/>
      <c r="E758" s="43" t="n"/>
    </row>
    <row r="759">
      <c r="B759" s="43" t="n"/>
      <c r="C759" s="43" t="n"/>
      <c r="D759" s="43" t="n"/>
      <c r="E759" s="43" t="n"/>
    </row>
    <row r="760">
      <c r="B760" s="43" t="n"/>
      <c r="C760" s="43" t="n"/>
      <c r="D760" s="43" t="n"/>
      <c r="E760" s="43" t="n"/>
    </row>
    <row r="761">
      <c r="B761" s="43" t="n"/>
      <c r="C761" s="43" t="n"/>
      <c r="D761" s="43" t="n"/>
      <c r="E761" s="43" t="n"/>
    </row>
    <row r="762">
      <c r="B762" s="43" t="n"/>
      <c r="C762" s="43" t="n"/>
      <c r="D762" s="43" t="n"/>
      <c r="E762" s="43" t="n"/>
    </row>
    <row r="763">
      <c r="B763" s="43" t="n"/>
      <c r="C763" s="43" t="n"/>
      <c r="D763" s="43" t="n"/>
      <c r="E763" s="43" t="n"/>
    </row>
    <row r="764">
      <c r="B764" s="43" t="n"/>
      <c r="C764" s="43" t="n"/>
      <c r="D764" s="43" t="n"/>
      <c r="E764" s="43" t="n"/>
    </row>
    <row r="765">
      <c r="B765" s="43" t="n"/>
      <c r="C765" s="43" t="n"/>
      <c r="D765" s="43" t="n"/>
      <c r="E765" s="43" t="n"/>
    </row>
    <row r="766">
      <c r="B766" s="43" t="n"/>
      <c r="C766" s="43" t="n"/>
      <c r="D766" s="43" t="n"/>
      <c r="E766" s="43" t="n"/>
    </row>
    <row r="767">
      <c r="B767" s="43" t="n"/>
      <c r="C767" s="43" t="n"/>
      <c r="D767" s="43" t="n"/>
      <c r="E767" s="43" t="n"/>
    </row>
    <row r="768">
      <c r="B768" s="43" t="n"/>
      <c r="C768" s="43" t="n"/>
      <c r="D768" s="43" t="n"/>
      <c r="E768" s="43" t="n"/>
    </row>
    <row r="769">
      <c r="B769" s="43" t="n"/>
      <c r="C769" s="43" t="n"/>
      <c r="D769" s="43" t="n"/>
      <c r="E769" s="43" t="n"/>
    </row>
    <row r="770">
      <c r="B770" s="43" t="n"/>
      <c r="C770" s="43" t="n"/>
      <c r="D770" s="43" t="n"/>
      <c r="E770" s="43" t="n"/>
    </row>
    <row r="771">
      <c r="B771" s="43" t="n"/>
      <c r="C771" s="43" t="n"/>
      <c r="D771" s="43" t="n"/>
      <c r="E771" s="43" t="n"/>
    </row>
    <row r="772">
      <c r="B772" s="43" t="n"/>
      <c r="C772" s="43" t="n"/>
      <c r="D772" s="43" t="n"/>
      <c r="E772" s="43" t="n"/>
    </row>
    <row r="773">
      <c r="B773" s="43" t="n"/>
      <c r="C773" s="43" t="n"/>
      <c r="D773" s="43" t="n"/>
      <c r="E773" s="43" t="n"/>
    </row>
    <row r="774">
      <c r="B774" s="43" t="n"/>
      <c r="C774" s="43" t="n"/>
      <c r="D774" s="43" t="n"/>
      <c r="E774" s="43" t="n"/>
    </row>
    <row r="775">
      <c r="B775" s="43" t="n"/>
      <c r="C775" s="43" t="n"/>
      <c r="D775" s="43" t="n"/>
      <c r="E775" s="43" t="n"/>
    </row>
    <row r="776">
      <c r="B776" s="43" t="n"/>
      <c r="C776" s="43" t="n"/>
      <c r="D776" s="43" t="n"/>
      <c r="E776" s="43" t="n"/>
    </row>
    <row r="777">
      <c r="B777" s="43" t="n"/>
      <c r="C777" s="43" t="n"/>
      <c r="D777" s="43" t="n"/>
      <c r="E777" s="43" t="n"/>
    </row>
    <row r="778">
      <c r="B778" s="43" t="n"/>
      <c r="C778" s="43" t="n"/>
      <c r="D778" s="43" t="n"/>
      <c r="E778" s="43" t="n"/>
    </row>
    <row r="779">
      <c r="B779" s="43" t="n"/>
      <c r="C779" s="43" t="n"/>
      <c r="D779" s="43" t="n"/>
      <c r="E779" s="43" t="n"/>
    </row>
    <row r="780">
      <c r="B780" s="43" t="n"/>
      <c r="C780" s="43" t="n"/>
      <c r="D780" s="43" t="n"/>
      <c r="E780" s="43" t="n"/>
    </row>
    <row r="781">
      <c r="B781" s="43" t="n"/>
      <c r="C781" s="43" t="n"/>
      <c r="D781" s="43" t="n"/>
      <c r="E781" s="43" t="n"/>
    </row>
    <row r="782">
      <c r="B782" s="43" t="n"/>
      <c r="C782" s="43" t="n"/>
      <c r="D782" s="43" t="n"/>
      <c r="E782" s="43" t="n"/>
    </row>
    <row r="783">
      <c r="B783" s="43" t="n"/>
      <c r="C783" s="43" t="n"/>
      <c r="D783" s="43" t="n"/>
      <c r="E783" s="43" t="n"/>
    </row>
    <row r="784">
      <c r="B784" s="43" t="n"/>
      <c r="C784" s="43" t="n"/>
      <c r="D784" s="43" t="n"/>
      <c r="E784" s="43" t="n"/>
    </row>
    <row r="785">
      <c r="B785" s="43" t="n"/>
      <c r="C785" s="43" t="n"/>
      <c r="D785" s="43" t="n"/>
      <c r="E785" s="43" t="n"/>
    </row>
    <row r="786">
      <c r="B786" s="43" t="n"/>
      <c r="C786" s="43" t="n"/>
      <c r="D786" s="43" t="n"/>
      <c r="E786" s="43" t="n"/>
    </row>
    <row r="787">
      <c r="B787" s="43" t="n"/>
      <c r="C787" s="43" t="n"/>
      <c r="D787" s="43" t="n"/>
      <c r="E787" s="43" t="n"/>
    </row>
    <row r="788">
      <c r="B788" s="43" t="n"/>
      <c r="C788" s="43" t="n"/>
      <c r="D788" s="43" t="n"/>
      <c r="E788" s="43" t="n"/>
    </row>
    <row r="789">
      <c r="B789" s="43" t="n"/>
      <c r="C789" s="43" t="n"/>
      <c r="D789" s="43" t="n"/>
      <c r="E789" s="43" t="n"/>
    </row>
    <row r="790">
      <c r="B790" s="43" t="n"/>
      <c r="C790" s="43" t="n"/>
      <c r="D790" s="43" t="n"/>
      <c r="E790" s="43" t="n"/>
    </row>
    <row r="791">
      <c r="B791" s="43" t="n"/>
      <c r="C791" s="43" t="n"/>
      <c r="D791" s="43" t="n"/>
      <c r="E791" s="43" t="n"/>
    </row>
    <row r="792">
      <c r="B792" s="43" t="n"/>
      <c r="C792" s="43" t="n"/>
      <c r="D792" s="43" t="n"/>
      <c r="E792" s="43" t="n"/>
    </row>
    <row r="793">
      <c r="B793" s="43" t="n"/>
      <c r="C793" s="43" t="n"/>
      <c r="D793" s="43" t="n"/>
      <c r="E793" s="43" t="n"/>
    </row>
    <row r="794">
      <c r="B794" s="43" t="n"/>
      <c r="C794" s="43" t="n"/>
      <c r="D794" s="43" t="n"/>
      <c r="E794" s="43" t="n"/>
    </row>
    <row r="795">
      <c r="B795" s="43" t="n"/>
      <c r="C795" s="43" t="n"/>
      <c r="D795" s="43" t="n"/>
      <c r="E795" s="43" t="n"/>
    </row>
    <row r="796">
      <c r="B796" s="43" t="n"/>
      <c r="C796" s="43" t="n"/>
      <c r="D796" s="43" t="n"/>
      <c r="E796" s="43" t="n"/>
    </row>
    <row r="797">
      <c r="B797" s="43" t="n"/>
      <c r="C797" s="43" t="n"/>
      <c r="D797" s="43" t="n"/>
      <c r="E797" s="43" t="n"/>
    </row>
    <row r="798">
      <c r="B798" s="43" t="n"/>
      <c r="C798" s="43" t="n"/>
      <c r="D798" s="43" t="n"/>
      <c r="E798" s="43" t="n"/>
    </row>
    <row r="799">
      <c r="B799" s="43" t="n"/>
      <c r="C799" s="43" t="n"/>
      <c r="D799" s="43" t="n"/>
      <c r="E799" s="43" t="n"/>
    </row>
    <row r="800">
      <c r="B800" s="43" t="n"/>
      <c r="C800" s="43" t="n"/>
      <c r="D800" s="43" t="n"/>
      <c r="E800" s="43" t="n"/>
    </row>
    <row r="801">
      <c r="B801" s="43" t="n"/>
      <c r="C801" s="43" t="n"/>
      <c r="D801" s="43" t="n"/>
      <c r="E801" s="43" t="n"/>
    </row>
    <row r="802">
      <c r="B802" s="43" t="n"/>
      <c r="C802" s="43" t="n"/>
      <c r="D802" s="43" t="n"/>
      <c r="E802" s="43" t="n"/>
    </row>
    <row r="803">
      <c r="B803" s="43" t="n"/>
      <c r="C803" s="43" t="n"/>
      <c r="D803" s="43" t="n"/>
      <c r="E803" s="43" t="n"/>
    </row>
    <row r="804">
      <c r="B804" s="43" t="n"/>
      <c r="C804" s="43" t="n"/>
      <c r="D804" s="43" t="n"/>
      <c r="E804" s="43" t="n"/>
    </row>
    <row r="805">
      <c r="B805" s="43" t="n"/>
      <c r="C805" s="43" t="n"/>
      <c r="D805" s="43" t="n"/>
      <c r="E805" s="43" t="n"/>
    </row>
    <row r="806">
      <c r="B806" s="43" t="n"/>
      <c r="C806" s="43" t="n"/>
      <c r="D806" s="43" t="n"/>
      <c r="E806" s="43" t="n"/>
    </row>
    <row r="807">
      <c r="B807" s="43" t="n"/>
      <c r="C807" s="43" t="n"/>
      <c r="D807" s="43" t="n"/>
      <c r="E807" s="43" t="n"/>
    </row>
    <row r="808">
      <c r="B808" s="43" t="n"/>
      <c r="C808" s="43" t="n"/>
      <c r="D808" s="43" t="n"/>
      <c r="E808" s="43" t="n"/>
    </row>
    <row r="809">
      <c r="B809" s="43" t="n"/>
      <c r="C809" s="43" t="n"/>
      <c r="D809" s="43" t="n"/>
      <c r="E809" s="43" t="n"/>
    </row>
    <row r="810">
      <c r="B810" s="43" t="n"/>
      <c r="C810" s="43" t="n"/>
      <c r="D810" s="43" t="n"/>
      <c r="E810" s="43" t="n"/>
    </row>
    <row r="811">
      <c r="B811" s="43" t="n"/>
      <c r="C811" s="43" t="n"/>
      <c r="D811" s="43" t="n"/>
      <c r="E811" s="43" t="n"/>
    </row>
    <row r="812">
      <c r="B812" s="43" t="n"/>
      <c r="C812" s="43" t="n"/>
      <c r="D812" s="43" t="n"/>
      <c r="E812" s="43" t="n"/>
    </row>
    <row r="813">
      <c r="B813" s="43" t="n"/>
      <c r="C813" s="43" t="n"/>
      <c r="D813" s="43" t="n"/>
      <c r="E813" s="43" t="n"/>
    </row>
    <row r="814">
      <c r="B814" s="43" t="n"/>
      <c r="C814" s="43" t="n"/>
      <c r="D814" s="43" t="n"/>
      <c r="E814" s="43" t="n"/>
    </row>
    <row r="815">
      <c r="B815" s="43" t="n"/>
      <c r="C815" s="43" t="n"/>
      <c r="D815" s="43" t="n"/>
      <c r="E815" s="43" t="n"/>
    </row>
    <row r="816">
      <c r="B816" s="43" t="n"/>
      <c r="C816" s="43" t="n"/>
      <c r="D816" s="43" t="n"/>
      <c r="E816" s="43" t="n"/>
    </row>
    <row r="817">
      <c r="B817" s="43" t="n"/>
      <c r="C817" s="43" t="n"/>
      <c r="D817" s="43" t="n"/>
      <c r="E817" s="43" t="n"/>
    </row>
    <row r="818">
      <c r="B818" s="43" t="n"/>
      <c r="C818" s="43" t="n"/>
      <c r="D818" s="43" t="n"/>
      <c r="E818" s="43" t="n"/>
    </row>
    <row r="819">
      <c r="B819" s="43" t="n"/>
      <c r="C819" s="43" t="n"/>
      <c r="D819" s="43" t="n"/>
      <c r="E819" s="43" t="n"/>
    </row>
    <row r="820">
      <c r="B820" s="43" t="n"/>
      <c r="C820" s="43" t="n"/>
      <c r="D820" s="43" t="n"/>
      <c r="E820" s="43" t="n"/>
    </row>
    <row r="821">
      <c r="B821" s="43" t="n"/>
      <c r="C821" s="43" t="n"/>
      <c r="D821" s="43" t="n"/>
      <c r="E821" s="43" t="n"/>
    </row>
    <row r="822">
      <c r="B822" s="43" t="n"/>
      <c r="C822" s="43" t="n"/>
      <c r="D822" s="43" t="n"/>
      <c r="E822" s="43" t="n"/>
    </row>
    <row r="823">
      <c r="B823" s="43" t="n"/>
      <c r="C823" s="43" t="n"/>
      <c r="D823" s="43" t="n"/>
      <c r="E823" s="43" t="n"/>
    </row>
    <row r="824">
      <c r="B824" s="43" t="n"/>
      <c r="C824" s="43" t="n"/>
      <c r="D824" s="43" t="n"/>
      <c r="E824" s="43" t="n"/>
    </row>
    <row r="825">
      <c r="B825" s="43" t="n"/>
      <c r="C825" s="43" t="n"/>
      <c r="D825" s="43" t="n"/>
      <c r="E825" s="43" t="n"/>
    </row>
    <row r="826">
      <c r="B826" s="43" t="n"/>
      <c r="C826" s="43" t="n"/>
      <c r="D826" s="43" t="n"/>
      <c r="E826" s="43" t="n"/>
    </row>
    <row r="827">
      <c r="B827" s="43" t="n"/>
      <c r="C827" s="43" t="n"/>
      <c r="D827" s="43" t="n"/>
      <c r="E827" s="43" t="n"/>
    </row>
    <row r="828">
      <c r="B828" s="43" t="n"/>
      <c r="C828" s="43" t="n"/>
      <c r="D828" s="43" t="n"/>
      <c r="E828" s="43" t="n"/>
    </row>
    <row r="829">
      <c r="B829" s="43" t="n"/>
      <c r="C829" s="43" t="n"/>
      <c r="D829" s="43" t="n"/>
      <c r="E829" s="43" t="n"/>
    </row>
    <row r="830">
      <c r="B830" s="43" t="n"/>
      <c r="C830" s="43" t="n"/>
      <c r="D830" s="43" t="n"/>
      <c r="E830" s="43" t="n"/>
    </row>
    <row r="831">
      <c r="B831" s="43" t="n"/>
      <c r="C831" s="43" t="n"/>
      <c r="D831" s="43" t="n"/>
      <c r="E831" s="43" t="n"/>
    </row>
    <row r="832">
      <c r="B832" s="43" t="n"/>
      <c r="C832" s="43" t="n"/>
      <c r="D832" s="43" t="n"/>
      <c r="E832" s="43" t="n"/>
    </row>
    <row r="833">
      <c r="B833" s="43" t="n"/>
      <c r="C833" s="43" t="n"/>
      <c r="D833" s="43" t="n"/>
      <c r="E833" s="43" t="n"/>
    </row>
    <row r="834">
      <c r="B834" s="43" t="n"/>
      <c r="C834" s="43" t="n"/>
      <c r="D834" s="43" t="n"/>
      <c r="E834" s="43" t="n"/>
    </row>
    <row r="835">
      <c r="B835" s="43" t="n"/>
      <c r="C835" s="43" t="n"/>
      <c r="D835" s="43" t="n"/>
      <c r="E835" s="43" t="n"/>
    </row>
    <row r="836">
      <c r="B836" s="43" t="n"/>
      <c r="C836" s="43" t="n"/>
      <c r="D836" s="43" t="n"/>
      <c r="E836" s="43" t="n"/>
    </row>
    <row r="837">
      <c r="B837" s="43" t="n"/>
      <c r="C837" s="43" t="n"/>
      <c r="D837" s="43" t="n"/>
      <c r="E837" s="43" t="n"/>
    </row>
    <row r="838">
      <c r="B838" s="43" t="n"/>
      <c r="C838" s="43" t="n"/>
      <c r="D838" s="43" t="n"/>
      <c r="E838" s="43" t="n"/>
    </row>
    <row r="839">
      <c r="B839" s="43" t="n"/>
      <c r="C839" s="43" t="n"/>
      <c r="D839" s="43" t="n"/>
      <c r="E839" s="43" t="n"/>
    </row>
    <row r="840">
      <c r="B840" s="43" t="n"/>
      <c r="C840" s="43" t="n"/>
      <c r="D840" s="43" t="n"/>
      <c r="E840" s="43" t="n"/>
    </row>
    <row r="841">
      <c r="B841" s="43" t="n"/>
      <c r="C841" s="43" t="n"/>
      <c r="D841" s="43" t="n"/>
      <c r="E841" s="43" t="n"/>
    </row>
    <row r="842">
      <c r="B842" s="43" t="n"/>
      <c r="C842" s="43" t="n"/>
      <c r="D842" s="43" t="n"/>
      <c r="E842" s="43" t="n"/>
    </row>
    <row r="843">
      <c r="B843" s="43" t="n"/>
      <c r="C843" s="43" t="n"/>
      <c r="D843" s="43" t="n"/>
      <c r="E843" s="43" t="n"/>
    </row>
    <row r="844">
      <c r="B844" s="43" t="n"/>
      <c r="C844" s="43" t="n"/>
      <c r="D844" s="43" t="n"/>
      <c r="E844" s="43" t="n"/>
    </row>
    <row r="845">
      <c r="B845" s="43" t="n"/>
      <c r="C845" s="43" t="n"/>
      <c r="D845" s="43" t="n"/>
      <c r="E845" s="43" t="n"/>
    </row>
    <row r="846">
      <c r="B846" s="43" t="n"/>
      <c r="C846" s="43" t="n"/>
      <c r="D846" s="43" t="n"/>
      <c r="E846" s="43" t="n"/>
    </row>
    <row r="847">
      <c r="B847" s="43" t="n"/>
      <c r="C847" s="43" t="n"/>
      <c r="D847" s="43" t="n"/>
      <c r="E847" s="43" t="n"/>
    </row>
    <row r="848">
      <c r="B848" s="43" t="n"/>
      <c r="C848" s="43" t="n"/>
      <c r="D848" s="43" t="n"/>
      <c r="E848" s="43" t="n"/>
    </row>
    <row r="849">
      <c r="B849" s="43" t="n"/>
      <c r="C849" s="43" t="n"/>
      <c r="D849" s="43" t="n"/>
      <c r="E849" s="43" t="n"/>
    </row>
    <row r="850">
      <c r="B850" s="43" t="n"/>
      <c r="C850" s="43" t="n"/>
      <c r="D850" s="43" t="n"/>
      <c r="E850" s="43" t="n"/>
    </row>
    <row r="851">
      <c r="B851" s="43" t="n"/>
      <c r="C851" s="43" t="n"/>
      <c r="D851" s="43" t="n"/>
      <c r="E851" s="43" t="n"/>
    </row>
    <row r="852">
      <c r="B852" s="43" t="n"/>
      <c r="C852" s="43" t="n"/>
      <c r="D852" s="43" t="n"/>
      <c r="E852" s="43" t="n"/>
    </row>
    <row r="853">
      <c r="B853" s="43" t="n"/>
      <c r="C853" s="43" t="n"/>
      <c r="D853" s="43" t="n"/>
      <c r="E853" s="43" t="n"/>
    </row>
    <row r="854">
      <c r="B854" s="43" t="n"/>
      <c r="C854" s="43" t="n"/>
      <c r="D854" s="43" t="n"/>
      <c r="E854" s="43" t="n"/>
    </row>
    <row r="855">
      <c r="B855" s="43" t="n"/>
      <c r="C855" s="43" t="n"/>
      <c r="D855" s="43" t="n"/>
      <c r="E855" s="43" t="n"/>
    </row>
    <row r="856">
      <c r="B856" s="43" t="n"/>
      <c r="C856" s="43" t="n"/>
      <c r="D856" s="43" t="n"/>
      <c r="E856" s="43" t="n"/>
    </row>
    <row r="857">
      <c r="B857" s="43" t="n"/>
      <c r="C857" s="43" t="n"/>
      <c r="D857" s="43" t="n"/>
      <c r="E857" s="43" t="n"/>
    </row>
    <row r="858">
      <c r="B858" s="43" t="n"/>
      <c r="C858" s="43" t="n"/>
      <c r="D858" s="43" t="n"/>
      <c r="E858" s="43" t="n"/>
    </row>
    <row r="859">
      <c r="B859" s="43" t="n"/>
      <c r="C859" s="43" t="n"/>
      <c r="D859" s="43" t="n"/>
      <c r="E859" s="43" t="n"/>
    </row>
    <row r="860">
      <c r="B860" s="43" t="n"/>
      <c r="C860" s="43" t="n"/>
      <c r="D860" s="43" t="n"/>
      <c r="E860" s="43" t="n"/>
    </row>
    <row r="861">
      <c r="B861" s="43" t="n"/>
      <c r="C861" s="43" t="n"/>
      <c r="D861" s="43" t="n"/>
      <c r="E861" s="43" t="n"/>
    </row>
    <row r="862">
      <c r="B862" s="43" t="n"/>
      <c r="C862" s="43" t="n"/>
      <c r="D862" s="43" t="n"/>
      <c r="E862" s="43" t="n"/>
    </row>
    <row r="863">
      <c r="B863" s="43" t="n"/>
      <c r="C863" s="43" t="n"/>
      <c r="D863" s="43" t="n"/>
      <c r="E863" s="43" t="n"/>
    </row>
    <row r="864">
      <c r="B864" s="43" t="n"/>
      <c r="C864" s="43" t="n"/>
      <c r="D864" s="43" t="n"/>
      <c r="E864" s="43" t="n"/>
    </row>
    <row r="865">
      <c r="B865" s="43" t="n"/>
      <c r="C865" s="43" t="n"/>
      <c r="D865" s="43" t="n"/>
      <c r="E865" s="43" t="n"/>
    </row>
    <row r="866">
      <c r="B866" s="43" t="n"/>
      <c r="C866" s="43" t="n"/>
      <c r="D866" s="43" t="n"/>
      <c r="E866" s="43" t="n"/>
    </row>
    <row r="867">
      <c r="B867" s="43" t="n"/>
      <c r="C867" s="43" t="n"/>
      <c r="D867" s="43" t="n"/>
      <c r="E867" s="43" t="n"/>
    </row>
    <row r="868">
      <c r="B868" s="43" t="n"/>
      <c r="C868" s="43" t="n"/>
      <c r="D868" s="43" t="n"/>
      <c r="E868" s="43" t="n"/>
    </row>
    <row r="869">
      <c r="B869" s="43" t="n"/>
      <c r="C869" s="43" t="n"/>
      <c r="D869" s="43" t="n"/>
      <c r="E869" s="43" t="n"/>
    </row>
    <row r="870">
      <c r="B870" s="43" t="n"/>
      <c r="C870" s="43" t="n"/>
      <c r="D870" s="43" t="n"/>
      <c r="E870" s="43" t="n"/>
    </row>
    <row r="871">
      <c r="B871" s="43" t="n"/>
      <c r="C871" s="43" t="n"/>
      <c r="D871" s="43" t="n"/>
      <c r="E871" s="43" t="n"/>
    </row>
    <row r="872">
      <c r="B872" s="43" t="n"/>
      <c r="C872" s="43" t="n"/>
      <c r="D872" s="43" t="n"/>
      <c r="E872" s="43" t="n"/>
    </row>
    <row r="873">
      <c r="B873" s="43" t="n"/>
      <c r="C873" s="43" t="n"/>
      <c r="D873" s="43" t="n"/>
      <c r="E873" s="43" t="n"/>
    </row>
    <row r="874">
      <c r="B874" s="43" t="n"/>
      <c r="C874" s="43" t="n"/>
      <c r="D874" s="43" t="n"/>
      <c r="E874" s="43" t="n"/>
    </row>
    <row r="875">
      <c r="B875" s="43" t="n"/>
      <c r="C875" s="43" t="n"/>
      <c r="D875" s="43" t="n"/>
      <c r="E875" s="43" t="n"/>
    </row>
    <row r="876">
      <c r="B876" s="43" t="n"/>
      <c r="C876" s="43" t="n"/>
      <c r="D876" s="43" t="n"/>
      <c r="E876" s="43" t="n"/>
    </row>
    <row r="877">
      <c r="B877" s="43" t="n"/>
      <c r="C877" s="43" t="n"/>
      <c r="D877" s="43" t="n"/>
      <c r="E877" s="43" t="n"/>
    </row>
    <row r="878">
      <c r="B878" s="43" t="n"/>
      <c r="C878" s="43" t="n"/>
      <c r="D878" s="43" t="n"/>
      <c r="E878" s="43" t="n"/>
    </row>
    <row r="879">
      <c r="B879" s="43" t="n"/>
      <c r="C879" s="43" t="n"/>
      <c r="D879" s="43" t="n"/>
      <c r="E879" s="43" t="n"/>
    </row>
    <row r="880">
      <c r="B880" s="43" t="n"/>
      <c r="C880" s="43" t="n"/>
      <c r="D880" s="43" t="n"/>
      <c r="E880" s="43" t="n"/>
    </row>
    <row r="881">
      <c r="B881" s="43" t="n"/>
      <c r="C881" s="43" t="n"/>
      <c r="D881" s="43" t="n"/>
      <c r="E881" s="43" t="n"/>
    </row>
    <row r="882">
      <c r="B882" s="43" t="n"/>
      <c r="C882" s="43" t="n"/>
      <c r="D882" s="43" t="n"/>
      <c r="E882" s="43" t="n"/>
    </row>
    <row r="883">
      <c r="B883" s="43" t="n"/>
      <c r="C883" s="43" t="n"/>
      <c r="D883" s="43" t="n"/>
      <c r="E883" s="43" t="n"/>
    </row>
    <row r="884">
      <c r="B884" s="43" t="n"/>
      <c r="C884" s="43" t="n"/>
      <c r="D884" s="43" t="n"/>
      <c r="E884" s="43" t="n"/>
    </row>
    <row r="885">
      <c r="B885" s="43" t="n"/>
      <c r="C885" s="43" t="n"/>
      <c r="D885" s="43" t="n"/>
      <c r="E885" s="43" t="n"/>
    </row>
    <row r="886">
      <c r="B886" s="43" t="n"/>
      <c r="C886" s="43" t="n"/>
      <c r="D886" s="43" t="n"/>
      <c r="E886" s="43" t="n"/>
    </row>
    <row r="887">
      <c r="B887" s="43" t="n"/>
      <c r="C887" s="43" t="n"/>
      <c r="D887" s="43" t="n"/>
      <c r="E887" s="43" t="n"/>
    </row>
    <row r="888">
      <c r="B888" s="43" t="n"/>
      <c r="C888" s="43" t="n"/>
      <c r="D888" s="43" t="n"/>
      <c r="E888" s="43" t="n"/>
    </row>
    <row r="889">
      <c r="B889" s="43" t="n"/>
      <c r="C889" s="43" t="n"/>
      <c r="D889" s="43" t="n"/>
      <c r="E889" s="43" t="n"/>
    </row>
    <row r="890">
      <c r="B890" s="43" t="n"/>
      <c r="C890" s="43" t="n"/>
      <c r="D890" s="43" t="n"/>
      <c r="E890" s="43" t="n"/>
    </row>
    <row r="891">
      <c r="B891" s="43" t="n"/>
      <c r="C891" s="43" t="n"/>
      <c r="D891" s="43" t="n"/>
      <c r="E891" s="43" t="n"/>
    </row>
    <row r="892">
      <c r="B892" s="43" t="n"/>
      <c r="C892" s="43" t="n"/>
      <c r="D892" s="43" t="n"/>
      <c r="E892" s="43" t="n"/>
    </row>
    <row r="893">
      <c r="B893" s="43" t="n"/>
      <c r="C893" s="43" t="n"/>
      <c r="D893" s="43" t="n"/>
      <c r="E893" s="43" t="n"/>
    </row>
    <row r="894">
      <c r="B894" s="43" t="n"/>
      <c r="C894" s="43" t="n"/>
      <c r="D894" s="43" t="n"/>
      <c r="E894" s="43" t="n"/>
    </row>
    <row r="895">
      <c r="B895" s="43" t="n"/>
      <c r="C895" s="43" t="n"/>
      <c r="D895" s="43" t="n"/>
      <c r="E895" s="43" t="n"/>
    </row>
    <row r="896">
      <c r="B896" s="43" t="n"/>
      <c r="C896" s="43" t="n"/>
      <c r="D896" s="43" t="n"/>
      <c r="E896" s="43" t="n"/>
    </row>
    <row r="897">
      <c r="B897" s="43" t="n"/>
      <c r="C897" s="43" t="n"/>
      <c r="D897" s="43" t="n"/>
      <c r="E897" s="43" t="n"/>
    </row>
    <row r="898">
      <c r="B898" s="43" t="n"/>
      <c r="C898" s="43" t="n"/>
      <c r="D898" s="43" t="n"/>
      <c r="E898" s="43" t="n"/>
    </row>
    <row r="899">
      <c r="B899" s="43" t="n"/>
      <c r="C899" s="43" t="n"/>
      <c r="D899" s="43" t="n"/>
      <c r="E899" s="43" t="n"/>
    </row>
    <row r="900">
      <c r="B900" s="43" t="n"/>
      <c r="C900" s="43" t="n"/>
      <c r="D900" s="43" t="n"/>
      <c r="E900" s="43" t="n"/>
    </row>
    <row r="901">
      <c r="B901" s="43" t="n"/>
      <c r="C901" s="43" t="n"/>
      <c r="D901" s="43" t="n"/>
      <c r="E901" s="43" t="n"/>
    </row>
    <row r="902">
      <c r="B902" s="43" t="n"/>
      <c r="C902" s="43" t="n"/>
      <c r="D902" s="43" t="n"/>
      <c r="E902" s="43" t="n"/>
    </row>
    <row r="903">
      <c r="B903" s="43" t="n"/>
      <c r="C903" s="43" t="n"/>
      <c r="D903" s="43" t="n"/>
      <c r="E903" s="43" t="n"/>
    </row>
    <row r="904">
      <c r="B904" s="43" t="n"/>
      <c r="C904" s="43" t="n"/>
      <c r="D904" s="43" t="n"/>
      <c r="E904" s="43" t="n"/>
    </row>
    <row r="905">
      <c r="B905" s="43" t="n"/>
      <c r="C905" s="43" t="n"/>
      <c r="D905" s="43" t="n"/>
      <c r="E905" s="43" t="n"/>
    </row>
    <row r="906">
      <c r="B906" s="43" t="n"/>
      <c r="C906" s="43" t="n"/>
      <c r="D906" s="43" t="n"/>
      <c r="E906" s="43" t="n"/>
    </row>
    <row r="907">
      <c r="B907" s="43" t="n"/>
      <c r="C907" s="43" t="n"/>
      <c r="D907" s="43" t="n"/>
      <c r="E907" s="43" t="n"/>
    </row>
    <row r="908">
      <c r="B908" s="43" t="n"/>
      <c r="C908" s="43" t="n"/>
      <c r="D908" s="43" t="n"/>
      <c r="E908" s="43" t="n"/>
    </row>
    <row r="909">
      <c r="B909" s="43" t="n"/>
      <c r="C909" s="43" t="n"/>
      <c r="D909" s="43" t="n"/>
      <c r="E909" s="43" t="n"/>
    </row>
    <row r="910">
      <c r="B910" s="43" t="n"/>
      <c r="C910" s="43" t="n"/>
      <c r="D910" s="43" t="n"/>
      <c r="E910" s="43" t="n"/>
    </row>
    <row r="911">
      <c r="B911" s="43" t="n"/>
      <c r="C911" s="43" t="n"/>
      <c r="D911" s="43" t="n"/>
      <c r="E911" s="43" t="n"/>
    </row>
    <row r="912">
      <c r="B912" s="43" t="n"/>
      <c r="C912" s="43" t="n"/>
      <c r="D912" s="43" t="n"/>
      <c r="E912" s="43" t="n"/>
    </row>
    <row r="913">
      <c r="B913" s="43" t="n"/>
      <c r="C913" s="43" t="n"/>
      <c r="D913" s="43" t="n"/>
      <c r="E913" s="43" t="n"/>
    </row>
    <row r="914">
      <c r="B914" s="43" t="n"/>
      <c r="C914" s="43" t="n"/>
      <c r="D914" s="43" t="n"/>
      <c r="E914" s="43" t="n"/>
    </row>
    <row r="915">
      <c r="B915" s="43" t="n"/>
      <c r="C915" s="43" t="n"/>
      <c r="D915" s="43" t="n"/>
      <c r="E915" s="43" t="n"/>
    </row>
    <row r="916">
      <c r="B916" s="43" t="n"/>
      <c r="C916" s="43" t="n"/>
      <c r="D916" s="43" t="n"/>
      <c r="E916" s="43" t="n"/>
    </row>
    <row r="917">
      <c r="B917" s="43" t="n"/>
      <c r="C917" s="43" t="n"/>
      <c r="D917" s="43" t="n"/>
      <c r="E917" s="43" t="n"/>
    </row>
    <row r="918">
      <c r="B918" s="43" t="n"/>
      <c r="C918" s="43" t="n"/>
      <c r="D918" s="43" t="n"/>
      <c r="E918" s="43" t="n"/>
    </row>
    <row r="919">
      <c r="B919" s="43" t="n"/>
      <c r="C919" s="43" t="n"/>
      <c r="D919" s="43" t="n"/>
      <c r="E919" s="43" t="n"/>
    </row>
    <row r="920">
      <c r="B920" s="43" t="n"/>
      <c r="C920" s="43" t="n"/>
      <c r="D920" s="43" t="n"/>
      <c r="E920" s="43" t="n"/>
    </row>
    <row r="921">
      <c r="B921" s="43" t="n"/>
      <c r="C921" s="43" t="n"/>
      <c r="D921" s="43" t="n"/>
      <c r="E921" s="43" t="n"/>
    </row>
    <row r="922">
      <c r="B922" s="43" t="n"/>
      <c r="C922" s="43" t="n"/>
      <c r="D922" s="43" t="n"/>
      <c r="E922" s="43" t="n"/>
    </row>
    <row r="923">
      <c r="B923" s="43" t="n"/>
      <c r="C923" s="43" t="n"/>
      <c r="D923" s="43" t="n"/>
      <c r="E923" s="43" t="n"/>
    </row>
    <row r="924">
      <c r="B924" s="43" t="n"/>
      <c r="C924" s="43" t="n"/>
      <c r="D924" s="43" t="n"/>
      <c r="E924" s="43" t="n"/>
    </row>
    <row r="925">
      <c r="B925" s="43" t="n"/>
      <c r="C925" s="43" t="n"/>
      <c r="D925" s="43" t="n"/>
      <c r="E925" s="43" t="n"/>
    </row>
    <row r="926">
      <c r="B926" s="43" t="n"/>
      <c r="C926" s="43" t="n"/>
      <c r="D926" s="43" t="n"/>
      <c r="E926" s="43" t="n"/>
    </row>
    <row r="927">
      <c r="B927" s="43" t="n"/>
      <c r="C927" s="43" t="n"/>
      <c r="D927" s="43" t="n"/>
      <c r="E927" s="43" t="n"/>
    </row>
    <row r="928">
      <c r="B928" s="43" t="n"/>
      <c r="C928" s="43" t="n"/>
      <c r="D928" s="43" t="n"/>
      <c r="E928" s="43" t="n"/>
    </row>
    <row r="929">
      <c r="B929" s="43" t="n"/>
      <c r="C929" s="43" t="n"/>
      <c r="D929" s="43" t="n"/>
      <c r="E929" s="43" t="n"/>
    </row>
    <row r="930">
      <c r="B930" s="43" t="n"/>
      <c r="C930" s="43" t="n"/>
      <c r="D930" s="43" t="n"/>
      <c r="E930" s="43" t="n"/>
    </row>
    <row r="931">
      <c r="B931" s="43" t="n"/>
      <c r="C931" s="43" t="n"/>
      <c r="D931" s="43" t="n"/>
      <c r="E931" s="43" t="n"/>
    </row>
    <row r="932">
      <c r="B932" s="43" t="n"/>
      <c r="C932" s="43" t="n"/>
      <c r="D932" s="43" t="n"/>
      <c r="E932" s="43" t="n"/>
    </row>
    <row r="933">
      <c r="B933" s="43" t="n"/>
      <c r="C933" s="43" t="n"/>
      <c r="D933" s="43" t="n"/>
      <c r="E933" s="43" t="n"/>
    </row>
    <row r="934">
      <c r="B934" s="43" t="n"/>
      <c r="C934" s="43" t="n"/>
      <c r="D934" s="43" t="n"/>
      <c r="E934" s="43" t="n"/>
    </row>
    <row r="935">
      <c r="B935" s="43" t="n"/>
      <c r="C935" s="43" t="n"/>
      <c r="D935" s="43" t="n"/>
      <c r="E935" s="43" t="n"/>
    </row>
    <row r="936">
      <c r="B936" s="43" t="n"/>
      <c r="C936" s="43" t="n"/>
      <c r="D936" s="43" t="n"/>
      <c r="E936" s="43" t="n"/>
    </row>
    <row r="937">
      <c r="B937" s="43" t="n"/>
      <c r="C937" s="43" t="n"/>
      <c r="D937" s="43" t="n"/>
      <c r="E937" s="43" t="n"/>
    </row>
    <row r="938">
      <c r="B938" s="43" t="n"/>
      <c r="C938" s="43" t="n"/>
      <c r="D938" s="43" t="n"/>
      <c r="E938" s="43" t="n"/>
    </row>
    <row r="939">
      <c r="B939" s="43" t="n"/>
      <c r="C939" s="43" t="n"/>
      <c r="D939" s="43" t="n"/>
      <c r="E939" s="43" t="n"/>
    </row>
    <row r="940">
      <c r="B940" s="43" t="n"/>
      <c r="C940" s="43" t="n"/>
      <c r="D940" s="43" t="n"/>
      <c r="E940" s="43" t="n"/>
    </row>
    <row r="941">
      <c r="B941" s="43" t="n"/>
      <c r="C941" s="43" t="n"/>
      <c r="D941" s="43" t="n"/>
      <c r="E941" s="43" t="n"/>
    </row>
    <row r="942">
      <c r="B942" s="43" t="n"/>
      <c r="C942" s="43" t="n"/>
      <c r="D942" s="43" t="n"/>
      <c r="E942" s="43" t="n"/>
    </row>
    <row r="943">
      <c r="B943" s="43" t="n"/>
      <c r="C943" s="43" t="n"/>
      <c r="D943" s="43" t="n"/>
      <c r="E943" s="43" t="n"/>
    </row>
    <row r="944">
      <c r="B944" s="43" t="n"/>
      <c r="C944" s="43" t="n"/>
      <c r="D944" s="43" t="n"/>
      <c r="E944" s="43" t="n"/>
    </row>
    <row r="945">
      <c r="B945" s="43" t="n"/>
      <c r="C945" s="43" t="n"/>
      <c r="D945" s="43" t="n"/>
      <c r="E945" s="43" t="n"/>
    </row>
    <row r="946">
      <c r="B946" s="43" t="n"/>
      <c r="C946" s="43" t="n"/>
      <c r="D946" s="43" t="n"/>
      <c r="E946" s="43" t="n"/>
    </row>
    <row r="947">
      <c r="B947" s="43" t="n"/>
      <c r="C947" s="43" t="n"/>
      <c r="D947" s="43" t="n"/>
      <c r="E947" s="43" t="n"/>
    </row>
    <row r="948">
      <c r="B948" s="43" t="n"/>
      <c r="C948" s="43" t="n"/>
      <c r="D948" s="43" t="n"/>
      <c r="E948" s="43" t="n"/>
    </row>
    <row r="949">
      <c r="B949" s="43" t="n"/>
      <c r="C949" s="43" t="n"/>
      <c r="D949" s="43" t="n"/>
      <c r="E949" s="43" t="n"/>
    </row>
    <row r="950">
      <c r="B950" s="43" t="n"/>
      <c r="C950" s="43" t="n"/>
      <c r="D950" s="43" t="n"/>
      <c r="E950" s="43" t="n"/>
    </row>
    <row r="951">
      <c r="B951" s="43" t="n"/>
      <c r="C951" s="43" t="n"/>
      <c r="D951" s="43" t="n"/>
      <c r="E951" s="43" t="n"/>
    </row>
    <row r="952">
      <c r="B952" s="43" t="n"/>
      <c r="C952" s="43" t="n"/>
      <c r="D952" s="43" t="n"/>
      <c r="E952" s="43" t="n"/>
    </row>
    <row r="953">
      <c r="B953" s="43" t="n"/>
      <c r="C953" s="43" t="n"/>
      <c r="D953" s="43" t="n"/>
      <c r="E953" s="43" t="n"/>
    </row>
    <row r="954">
      <c r="B954" s="43" t="n"/>
      <c r="C954" s="43" t="n"/>
      <c r="D954" s="43" t="n"/>
      <c r="E954" s="43" t="n"/>
    </row>
    <row r="955">
      <c r="B955" s="43" t="n"/>
      <c r="C955" s="43" t="n"/>
      <c r="D955" s="43" t="n"/>
      <c r="E955" s="43" t="n"/>
    </row>
    <row r="956">
      <c r="B956" s="43" t="n"/>
      <c r="C956" s="43" t="n"/>
      <c r="D956" s="43" t="n"/>
      <c r="E956" s="43" t="n"/>
    </row>
    <row r="957">
      <c r="B957" s="43" t="n"/>
      <c r="C957" s="43" t="n"/>
      <c r="D957" s="43" t="n"/>
      <c r="E957" s="43" t="n"/>
    </row>
    <row r="958">
      <c r="B958" s="43" t="n"/>
      <c r="C958" s="43" t="n"/>
      <c r="D958" s="43" t="n"/>
      <c r="E958" s="43" t="n"/>
    </row>
    <row r="959">
      <c r="B959" s="43" t="n"/>
      <c r="C959" s="43" t="n"/>
      <c r="D959" s="43" t="n"/>
      <c r="E959" s="43" t="n"/>
    </row>
    <row r="960">
      <c r="B960" s="43" t="n"/>
      <c r="C960" s="43" t="n"/>
      <c r="D960" s="43" t="n"/>
      <c r="E960" s="43" t="n"/>
    </row>
    <row r="961">
      <c r="B961" s="43" t="n"/>
      <c r="C961" s="43" t="n"/>
      <c r="D961" s="43" t="n"/>
      <c r="E961" s="43" t="n"/>
    </row>
    <row r="962">
      <c r="B962" s="43" t="n"/>
      <c r="C962" s="43" t="n"/>
      <c r="D962" s="43" t="n"/>
      <c r="E962" s="43" t="n"/>
    </row>
    <row r="963">
      <c r="B963" s="43" t="n"/>
      <c r="C963" s="43" t="n"/>
      <c r="D963" s="43" t="n"/>
      <c r="E963" s="43" t="n"/>
    </row>
    <row r="964">
      <c r="B964" s="43" t="n"/>
      <c r="C964" s="43" t="n"/>
      <c r="D964" s="43" t="n"/>
      <c r="E964" s="43" t="n"/>
    </row>
    <row r="965">
      <c r="B965" s="43" t="n"/>
      <c r="C965" s="43" t="n"/>
      <c r="D965" s="43" t="n"/>
      <c r="E965" s="43" t="n"/>
    </row>
    <row r="966">
      <c r="B966" s="43" t="n"/>
      <c r="C966" s="43" t="n"/>
      <c r="D966" s="43" t="n"/>
      <c r="E966" s="43" t="n"/>
    </row>
    <row r="967">
      <c r="B967" s="43" t="n"/>
      <c r="C967" s="43" t="n"/>
      <c r="D967" s="43" t="n"/>
      <c r="E967" s="43" t="n"/>
    </row>
    <row r="968">
      <c r="B968" s="43" t="n"/>
      <c r="C968" s="43" t="n"/>
      <c r="D968" s="43" t="n"/>
      <c r="E968" s="43" t="n"/>
    </row>
    <row r="969">
      <c r="B969" s="43" t="n"/>
      <c r="C969" s="43" t="n"/>
      <c r="D969" s="43" t="n"/>
      <c r="E969" s="43" t="n"/>
    </row>
    <row r="970">
      <c r="B970" s="43" t="n"/>
      <c r="C970" s="43" t="n"/>
      <c r="D970" s="43" t="n"/>
      <c r="E970" s="43" t="n"/>
    </row>
    <row r="971">
      <c r="B971" s="43" t="n"/>
      <c r="C971" s="43" t="n"/>
      <c r="D971" s="43" t="n"/>
      <c r="E971" s="43" t="n"/>
    </row>
    <row r="972">
      <c r="B972" s="43" t="n"/>
      <c r="C972" s="43" t="n"/>
      <c r="D972" s="43" t="n"/>
      <c r="E972" s="43" t="n"/>
    </row>
    <row r="973">
      <c r="B973" s="43" t="n"/>
      <c r="C973" s="43" t="n"/>
      <c r="D973" s="43" t="n"/>
      <c r="E973" s="43" t="n"/>
    </row>
    <row r="974">
      <c r="B974" s="43" t="n"/>
      <c r="C974" s="43" t="n"/>
      <c r="D974" s="43" t="n"/>
      <c r="E974" s="43" t="n"/>
    </row>
    <row r="975">
      <c r="B975" s="43" t="n"/>
      <c r="C975" s="43" t="n"/>
      <c r="D975" s="43" t="n"/>
      <c r="E975" s="43" t="n"/>
    </row>
    <row r="976">
      <c r="B976" s="43" t="n"/>
      <c r="C976" s="43" t="n"/>
      <c r="D976" s="43" t="n"/>
      <c r="E976" s="43" t="n"/>
    </row>
    <row r="977">
      <c r="B977" s="43" t="n"/>
      <c r="C977" s="43" t="n"/>
      <c r="D977" s="43" t="n"/>
      <c r="E977" s="43" t="n"/>
    </row>
    <row r="978">
      <c r="B978" s="43" t="n"/>
      <c r="C978" s="43" t="n"/>
      <c r="D978" s="43" t="n"/>
      <c r="E978" s="43" t="n"/>
    </row>
    <row r="979">
      <c r="B979" s="43" t="n"/>
      <c r="C979" s="43" t="n"/>
      <c r="D979" s="43" t="n"/>
      <c r="E979" s="43" t="n"/>
    </row>
    <row r="980">
      <c r="B980" s="43" t="n"/>
      <c r="C980" s="43" t="n"/>
      <c r="D980" s="43" t="n"/>
      <c r="E980" s="43" t="n"/>
    </row>
    <row r="981">
      <c r="B981" s="43" t="n"/>
      <c r="C981" s="43" t="n"/>
      <c r="D981" s="43" t="n"/>
      <c r="E981" s="43" t="n"/>
    </row>
    <row r="982">
      <c r="B982" s="43" t="n"/>
      <c r="C982" s="43" t="n"/>
      <c r="D982" s="43" t="n"/>
      <c r="E982" s="43" t="n"/>
    </row>
    <row r="983">
      <c r="B983" s="43" t="n"/>
      <c r="C983" s="43" t="n"/>
      <c r="D983" s="43" t="n"/>
      <c r="E983" s="43" t="n"/>
    </row>
    <row r="984">
      <c r="B984" s="43" t="n"/>
      <c r="C984" s="43" t="n"/>
      <c r="D984" s="43" t="n"/>
      <c r="E984" s="43" t="n"/>
    </row>
    <row r="985">
      <c r="B985" s="43" t="n"/>
      <c r="C985" s="43" t="n"/>
      <c r="D985" s="43" t="n"/>
      <c r="E985" s="43" t="n"/>
    </row>
    <row r="986">
      <c r="B986" s="43" t="n"/>
      <c r="C986" s="43" t="n"/>
      <c r="D986" s="43" t="n"/>
      <c r="E986" s="43" t="n"/>
    </row>
    <row r="987">
      <c r="B987" s="43" t="n"/>
      <c r="C987" s="43" t="n"/>
      <c r="D987" s="43" t="n"/>
      <c r="E987" s="43" t="n"/>
    </row>
    <row r="988">
      <c r="B988" s="43" t="n"/>
      <c r="C988" s="43" t="n"/>
      <c r="D988" s="43" t="n"/>
      <c r="E988" s="43" t="n"/>
    </row>
    <row r="989">
      <c r="B989" s="43" t="n"/>
      <c r="C989" s="43" t="n"/>
      <c r="D989" s="43" t="n"/>
      <c r="E989" s="43" t="n"/>
    </row>
    <row r="990">
      <c r="B990" s="43" t="n"/>
      <c r="C990" s="43" t="n"/>
      <c r="D990" s="43" t="n"/>
      <c r="E990" s="43" t="n"/>
    </row>
    <row r="991">
      <c r="B991" s="43" t="n"/>
      <c r="C991" s="43" t="n"/>
      <c r="D991" s="43" t="n"/>
      <c r="E991" s="43" t="n"/>
    </row>
    <row r="992">
      <c r="B992" s="43" t="n"/>
      <c r="C992" s="43" t="n"/>
      <c r="D992" s="43" t="n"/>
      <c r="E992" s="43" t="n"/>
    </row>
    <row r="993">
      <c r="B993" s="43" t="n"/>
      <c r="C993" s="43" t="n"/>
      <c r="D993" s="43" t="n"/>
      <c r="E993" s="43" t="n"/>
    </row>
    <row r="994">
      <c r="B994" s="43" t="n"/>
      <c r="C994" s="43" t="n"/>
      <c r="D994" s="43" t="n"/>
      <c r="E994" s="43" t="n"/>
    </row>
    <row r="995">
      <c r="B995" s="43" t="n"/>
      <c r="C995" s="43" t="n"/>
      <c r="D995" s="43" t="n"/>
      <c r="E995" s="43" t="n"/>
    </row>
    <row r="996">
      <c r="B996" s="43" t="n"/>
      <c r="C996" s="43" t="n"/>
      <c r="D996" s="43" t="n"/>
      <c r="E996" s="43" t="n"/>
    </row>
    <row r="997">
      <c r="B997" s="43" t="n"/>
      <c r="C997" s="43" t="n"/>
      <c r="D997" s="43" t="n"/>
      <c r="E997" s="43" t="n"/>
    </row>
    <row r="998">
      <c r="B998" s="43" t="n"/>
      <c r="C998" s="43" t="n"/>
      <c r="D998" s="43" t="n"/>
      <c r="E998" s="43" t="n"/>
    </row>
    <row r="999">
      <c r="B999" s="43" t="n"/>
      <c r="C999" s="43" t="n"/>
      <c r="D999" s="43" t="n"/>
      <c r="E999" s="43" t="n"/>
    </row>
    <row r="1000">
      <c r="B1000" s="43" t="n"/>
      <c r="C1000" s="43" t="n"/>
      <c r="D1000" s="43" t="n"/>
      <c r="E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SOURCE SYSTEMS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Source systems</t>
        </is>
      </c>
      <c r="R4" s="1" t="n"/>
    </row>
    <row r="5" ht="22" customHeight="1">
      <c r="A5" s="1" t="n"/>
      <c r="B5" s="33" t="inlineStr">
        <is>
          <t>Register enterprise source roles and generic adapters.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SourceRole</t>
        </is>
      </c>
      <c r="E13" s="38" t="inlineStr">
        <is>
          <t>Adapter</t>
        </is>
      </c>
      <c r="F13" s="38" t="inlineStr">
        <is>
          <t>RelativePath</t>
        </is>
      </c>
      <c r="G13" s="38" t="inlineStr">
        <is>
          <t>FilePattern</t>
        </is>
      </c>
      <c r="H13" s="38" t="inlineStr">
        <is>
          <t>Format</t>
        </is>
      </c>
      <c r="I13" s="38" t="inlineStr">
        <is>
          <t>Delimiter</t>
        </is>
      </c>
      <c r="J13" s="38" t="inlineStr">
        <is>
          <t>Encoding</t>
        </is>
      </c>
      <c r="K13" s="38" t="inlineStr">
        <is>
          <t>Culture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PEOPLE</t>
        </is>
      </c>
      <c r="D14" s="40" t="inlineStr">
        <is>
          <t>PeopleSource</t>
        </is>
      </c>
      <c r="E14" s="40" t="inlineStr">
        <is>
          <t>GenericDelimited</t>
        </is>
      </c>
      <c r="F14" s="40" t="inlineStr">
        <is>
          <t>03_Data/01_People</t>
        </is>
      </c>
      <c r="G14" s="40" t="inlineStr">
        <is>
          <t>*.*</t>
        </is>
      </c>
      <c r="H14" s="40" t="inlineStr">
        <is>
          <t>Auto</t>
        </is>
      </c>
      <c r="I14" s="40" t="inlineStr">
        <is>
          <t>comma</t>
        </is>
      </c>
      <c r="J14" s="40" t="inlineStr">
        <is>
          <t>65001</t>
        </is>
      </c>
      <c r="K14" s="40" t="inlineStr">
        <is>
          <t>en-US</t>
        </is>
      </c>
      <c r="L14" s="40" t="b">
        <v>0</v>
      </c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CONTACTS</t>
        </is>
      </c>
      <c r="D15" s="40" t="inlineStr">
        <is>
          <t>ContactPlatform</t>
        </is>
      </c>
      <c r="E15" s="40" t="inlineStr">
        <is>
          <t>GenericDelimited</t>
        </is>
      </c>
      <c r="F15" s="40" t="inlineStr">
        <is>
          <t>03_Data/02_Contacts</t>
        </is>
      </c>
      <c r="G15" s="40" t="inlineStr">
        <is>
          <t>*.*</t>
        </is>
      </c>
      <c r="H15" s="40" t="inlineStr">
        <is>
          <t>Auto</t>
        </is>
      </c>
      <c r="I15" s="40" t="inlineStr">
        <is>
          <t>comma</t>
        </is>
      </c>
      <c r="J15" s="40" t="inlineStr">
        <is>
          <t>65001</t>
        </is>
      </c>
      <c r="K15" s="40" t="inlineStr">
        <is>
          <t>en-US</t>
        </is>
      </c>
      <c r="L15" s="40" t="b">
        <v>0</v>
      </c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WORK_ITEMS</t>
        </is>
      </c>
      <c r="D16" s="40" t="inlineStr">
        <is>
          <t>WorkItemPlatform</t>
        </is>
      </c>
      <c r="E16" s="40" t="inlineStr">
        <is>
          <t>GenericDelimited</t>
        </is>
      </c>
      <c r="F16" s="40" t="inlineStr">
        <is>
          <t>03_Data/03_Work_Items</t>
        </is>
      </c>
      <c r="G16" s="40" t="inlineStr">
        <is>
          <t>*.*</t>
        </is>
      </c>
      <c r="H16" s="40" t="inlineStr">
        <is>
          <t>Auto</t>
        </is>
      </c>
      <c r="I16" s="40" t="inlineStr">
        <is>
          <t>comma</t>
        </is>
      </c>
      <c r="J16" s="40" t="inlineStr">
        <is>
          <t>65001</t>
        </is>
      </c>
      <c r="K16" s="40" t="inlineStr">
        <is>
          <t>en-US</t>
        </is>
      </c>
      <c r="L16" s="40" t="b">
        <v>0</v>
      </c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AGENT_EVENTS</t>
        </is>
      </c>
      <c r="D17" s="40" t="inlineStr">
        <is>
          <t>AgentEventSource</t>
        </is>
      </c>
      <c r="E17" s="40" t="inlineStr">
        <is>
          <t>GenericDelimited</t>
        </is>
      </c>
      <c r="F17" s="40" t="inlineStr">
        <is>
          <t>03_Data/04_Agent_Events</t>
        </is>
      </c>
      <c r="G17" s="40" t="inlineStr">
        <is>
          <t>*.*</t>
        </is>
      </c>
      <c r="H17" s="40" t="inlineStr">
        <is>
          <t>Auto</t>
        </is>
      </c>
      <c r="I17" s="40" t="inlineStr">
        <is>
          <t>comma</t>
        </is>
      </c>
      <c r="J17" s="40" t="inlineStr">
        <is>
          <t>65001</t>
        </is>
      </c>
      <c r="K17" s="40" t="inlineStr">
        <is>
          <t>en-US</t>
        </is>
      </c>
      <c r="L17" s="40" t="b">
        <v>0</v>
      </c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LOGIN_SESSIONS</t>
        </is>
      </c>
      <c r="D18" s="40" t="inlineStr">
        <is>
          <t>LoginSource</t>
        </is>
      </c>
      <c r="E18" s="40" t="inlineStr">
        <is>
          <t>GenericDelimited</t>
        </is>
      </c>
      <c r="F18" s="40" t="inlineStr">
        <is>
          <t>03_Data/05_Login_Sessions</t>
        </is>
      </c>
      <c r="G18" s="40" t="inlineStr">
        <is>
          <t>*.*</t>
        </is>
      </c>
      <c r="H18" s="40" t="inlineStr">
        <is>
          <t>Auto</t>
        </is>
      </c>
      <c r="I18" s="40" t="inlineStr">
        <is>
          <t>comma</t>
        </is>
      </c>
      <c r="J18" s="40" t="inlineStr">
        <is>
          <t>65001</t>
        </is>
      </c>
      <c r="K18" s="40" t="inlineStr">
        <is>
          <t>en-US</t>
        </is>
      </c>
      <c r="L18" s="40" t="b">
        <v>0</v>
      </c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SCHEDULES</t>
        </is>
      </c>
      <c r="D19" s="40" t="inlineStr">
        <is>
          <t>SchedulingTool</t>
        </is>
      </c>
      <c r="E19" s="40" t="inlineStr">
        <is>
          <t>GenericDelimited</t>
        </is>
      </c>
      <c r="F19" s="40" t="inlineStr">
        <is>
          <t>03_Data/06_Schedules</t>
        </is>
      </c>
      <c r="G19" s="40" t="inlineStr">
        <is>
          <t>*.*</t>
        </is>
      </c>
      <c r="H19" s="40" t="inlineStr">
        <is>
          <t>Auto</t>
        </is>
      </c>
      <c r="I19" s="40" t="inlineStr">
        <is>
          <t>comma</t>
        </is>
      </c>
      <c r="J19" s="40" t="inlineStr">
        <is>
          <t>65001</t>
        </is>
      </c>
      <c r="K19" s="40" t="inlineStr">
        <is>
          <t>en-US</t>
        </is>
      </c>
      <c r="L19" s="40" t="b">
        <v>0</v>
      </c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ABSENCE_LEAVE</t>
        </is>
      </c>
      <c r="D20" s="40" t="inlineStr">
        <is>
          <t>AbsenceLeaveSource</t>
        </is>
      </c>
      <c r="E20" s="40" t="inlineStr">
        <is>
          <t>GenericDelimited</t>
        </is>
      </c>
      <c r="F20" s="40" t="inlineStr">
        <is>
          <t>03_Data/07_Absence_Leave</t>
        </is>
      </c>
      <c r="G20" s="40" t="inlineStr">
        <is>
          <t>*.*</t>
        </is>
      </c>
      <c r="H20" s="40" t="inlineStr">
        <is>
          <t>Auto</t>
        </is>
      </c>
      <c r="I20" s="40" t="inlineStr">
        <is>
          <t>comma</t>
        </is>
      </c>
      <c r="J20" s="40" t="inlineStr">
        <is>
          <t>65001</t>
        </is>
      </c>
      <c r="K20" s="40" t="inlineStr">
        <is>
          <t>en-US</t>
        </is>
      </c>
      <c r="L20" s="40" t="b">
        <v>0</v>
      </c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QUALITY</t>
        </is>
      </c>
      <c r="D21" s="40" t="inlineStr">
        <is>
          <t>QualitySource</t>
        </is>
      </c>
      <c r="E21" s="40" t="inlineStr">
        <is>
          <t>GenericDelimited</t>
        </is>
      </c>
      <c r="F21" s="40" t="inlineStr">
        <is>
          <t>03_Data/08_Quality</t>
        </is>
      </c>
      <c r="G21" s="40" t="inlineStr">
        <is>
          <t>*.*</t>
        </is>
      </c>
      <c r="H21" s="40" t="inlineStr">
        <is>
          <t>Auto</t>
        </is>
      </c>
      <c r="I21" s="40" t="inlineStr">
        <is>
          <t>comma</t>
        </is>
      </c>
      <c r="J21" s="40" t="inlineStr">
        <is>
          <t>65001</t>
        </is>
      </c>
      <c r="K21" s="40" t="inlineStr">
        <is>
          <t>en-US</t>
        </is>
      </c>
      <c r="L21" s="40" t="b">
        <v>0</v>
      </c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FORECASTS</t>
        </is>
      </c>
      <c r="D22" s="40" t="inlineStr">
        <is>
          <t>ForecastSource</t>
        </is>
      </c>
      <c r="E22" s="40" t="inlineStr">
        <is>
          <t>GenericDelimited</t>
        </is>
      </c>
      <c r="F22" s="40" t="inlineStr">
        <is>
          <t>03_Data/09_Forecasts</t>
        </is>
      </c>
      <c r="G22" s="40" t="inlineStr">
        <is>
          <t>*.*</t>
        </is>
      </c>
      <c r="H22" s="40" t="inlineStr">
        <is>
          <t>Auto</t>
        </is>
      </c>
      <c r="I22" s="40" t="inlineStr">
        <is>
          <t>comma</t>
        </is>
      </c>
      <c r="J22" s="40" t="inlineStr">
        <is>
          <t>65001</t>
        </is>
      </c>
      <c r="K22" s="40" t="inlineStr">
        <is>
          <t>en-US</t>
        </is>
      </c>
      <c r="L22" s="40" t="b">
        <v>0</v>
      </c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STAFFING_REQUIREMENTS</t>
        </is>
      </c>
      <c r="D23" s="40" t="inlineStr">
        <is>
          <t>StaffingRequirementSource</t>
        </is>
      </c>
      <c r="E23" s="40" t="inlineStr">
        <is>
          <t>GenericDelimited</t>
        </is>
      </c>
      <c r="F23" s="40" t="inlineStr">
        <is>
          <t>03_Data/10_Staffing_Requirements</t>
        </is>
      </c>
      <c r="G23" s="40" t="inlineStr">
        <is>
          <t>*.*</t>
        </is>
      </c>
      <c r="H23" s="40" t="inlineStr">
        <is>
          <t>Auto</t>
        </is>
      </c>
      <c r="I23" s="40" t="inlineStr">
        <is>
          <t>comma</t>
        </is>
      </c>
      <c r="J23" s="40" t="inlineStr">
        <is>
          <t>65001</t>
        </is>
      </c>
      <c r="K23" s="40" t="inlineStr">
        <is>
          <t>en-US</t>
        </is>
      </c>
      <c r="L23" s="40" t="b">
        <v>0</v>
      </c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the source extract format." type="list">
      <formula1>=FORMAT_LIST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FIELD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Field mapping</t>
        </is>
      </c>
      <c r="R4" s="1" t="n"/>
    </row>
    <row r="5" ht="22" customHeight="1">
      <c r="A5" s="1" t="n"/>
      <c r="B5" s="33" t="inlineStr">
        <is>
          <t>Map external columns into canonical WFM contracts.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Adapter</t>
        </is>
      </c>
      <c r="D13" s="38" t="inlineStr">
        <is>
          <t>Entity</t>
        </is>
      </c>
      <c r="E13" s="38" t="inlineStr">
        <is>
          <t>SourceField</t>
        </is>
      </c>
      <c r="F13" s="38" t="inlineStr">
        <is>
          <t>CanonicalField</t>
        </is>
      </c>
      <c r="G13" s="38" t="inlineStr">
        <is>
          <t>DataType</t>
        </is>
      </c>
      <c r="H13" s="38" t="inlineStr">
        <is>
          <t>Required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GenericDelimited</t>
        </is>
      </c>
      <c r="D14" s="40" t="inlineStr">
        <is>
          <t>Contact</t>
        </is>
      </c>
      <c r="E14" s="40" t="inlineStr"/>
      <c r="F14" s="40" t="inlineStr">
        <is>
          <t>SourceContactID</t>
        </is>
      </c>
      <c r="G14" s="40" t="inlineStr">
        <is>
          <t>text</t>
        </is>
      </c>
      <c r="H14" s="40" t="b">
        <v>1</v>
      </c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GenericDelimited</t>
        </is>
      </c>
      <c r="D15" s="40" t="inlineStr">
        <is>
          <t>Contact</t>
        </is>
      </c>
      <c r="E15" s="40" t="inlineStr"/>
      <c r="F15" s="40" t="inlineStr">
        <is>
          <t>ContactStart</t>
        </is>
      </c>
      <c r="G15" s="40" t="inlineStr">
        <is>
          <t>datetime</t>
        </is>
      </c>
      <c r="H15" s="40" t="b">
        <v>1</v>
      </c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GenericDelimited</t>
        </is>
      </c>
      <c r="D16" s="40" t="inlineStr">
        <is>
          <t>Contact</t>
        </is>
      </c>
      <c r="E16" s="40" t="inlineStr"/>
      <c r="F16" s="40" t="inlineStr">
        <is>
          <t>ContactEnd</t>
        </is>
      </c>
      <c r="G16" s="40" t="inlineStr">
        <is>
          <t>datetime</t>
        </is>
      </c>
      <c r="H16" s="40" t="b">
        <v>0</v>
      </c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GenericDelimited</t>
        </is>
      </c>
      <c r="D17" s="40" t="inlineStr">
        <is>
          <t>Contact</t>
        </is>
      </c>
      <c r="E17" s="40" t="inlineStr"/>
      <c r="F17" s="40" t="inlineStr">
        <is>
          <t>ChannelExternalID</t>
        </is>
      </c>
      <c r="G17" s="40" t="inlineStr">
        <is>
          <t>text</t>
        </is>
      </c>
      <c r="H17" s="40" t="b">
        <v>1</v>
      </c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GenericDelimited</t>
        </is>
      </c>
      <c r="D18" s="40" t="inlineStr">
        <is>
          <t>Contact</t>
        </is>
      </c>
      <c r="E18" s="40" t="inlineStr"/>
      <c r="F18" s="40" t="inlineStr">
        <is>
          <t>QueueExternalID</t>
        </is>
      </c>
      <c r="G18" s="40" t="inlineStr">
        <is>
          <t>text</t>
        </is>
      </c>
      <c r="H18" s="40" t="b">
        <v>1</v>
      </c>
      <c r="I18" s="40" t="b">
        <v>0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GenericDelimited</t>
        </is>
      </c>
      <c r="D19" s="40" t="inlineStr">
        <is>
          <t>Contact</t>
        </is>
      </c>
      <c r="E19" s="40" t="inlineStr"/>
      <c r="F19" s="40" t="inlineStr">
        <is>
          <t>AgentExternalID</t>
        </is>
      </c>
      <c r="G19" s="40" t="inlineStr">
        <is>
          <t>text</t>
        </is>
      </c>
      <c r="H19" s="40" t="b">
        <v>0</v>
      </c>
      <c r="I19" s="40" t="b">
        <v>0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GenericDelimited</t>
        </is>
      </c>
      <c r="D20" s="40" t="inlineStr">
        <is>
          <t>Contact</t>
        </is>
      </c>
      <c r="E20" s="40" t="inlineStr"/>
      <c r="F20" s="40" t="inlineStr">
        <is>
          <t>Direction</t>
        </is>
      </c>
      <c r="G20" s="40" t="inlineStr">
        <is>
          <t>text</t>
        </is>
      </c>
      <c r="H20" s="40" t="b">
        <v>1</v>
      </c>
      <c r="I20" s="40" t="b">
        <v>0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GenericDelimited</t>
        </is>
      </c>
      <c r="D21" s="40" t="inlineStr">
        <is>
          <t>Contact</t>
        </is>
      </c>
      <c r="E21" s="40" t="inlineStr"/>
      <c r="F21" s="40" t="inlineStr">
        <is>
          <t>Outcome</t>
        </is>
      </c>
      <c r="G21" s="40" t="inlineStr">
        <is>
          <t>text</t>
        </is>
      </c>
      <c r="H21" s="40" t="b">
        <v>1</v>
      </c>
      <c r="I21" s="40" t="b">
        <v>0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GenericDelimited</t>
        </is>
      </c>
      <c r="D22" s="40" t="inlineStr">
        <is>
          <t>Contact</t>
        </is>
      </c>
      <c r="E22" s="40" t="inlineStr"/>
      <c r="F22" s="40" t="inlineStr">
        <is>
          <t>WaitSeconds</t>
        </is>
      </c>
      <c r="G22" s="40" t="inlineStr">
        <is>
          <t>number</t>
        </is>
      </c>
      <c r="H22" s="40" t="b">
        <v>1</v>
      </c>
      <c r="I22" s="40" t="b">
        <v>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GenericDelimited</t>
        </is>
      </c>
      <c r="D23" s="40" t="inlineStr">
        <is>
          <t>Contact</t>
        </is>
      </c>
      <c r="E23" s="40" t="inlineStr"/>
      <c r="F23" s="40" t="inlineStr">
        <is>
          <t>TalkSeconds</t>
        </is>
      </c>
      <c r="G23" s="40" t="inlineStr">
        <is>
          <t>number</t>
        </is>
      </c>
      <c r="H23" s="40" t="b">
        <v>0</v>
      </c>
      <c r="I23" s="40" t="b">
        <v>0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BLANK_DEPLOYMENT</t>
        </is>
      </c>
      <c r="C24" s="40" t="inlineStr">
        <is>
          <t>GenericDelimited</t>
        </is>
      </c>
      <c r="D24" s="40" t="inlineStr">
        <is>
          <t>Contact</t>
        </is>
      </c>
      <c r="E24" s="40" t="inlineStr"/>
      <c r="F24" s="40" t="inlineStr">
        <is>
          <t>HoldSeconds</t>
        </is>
      </c>
      <c r="G24" s="40" t="inlineStr">
        <is>
          <t>number</t>
        </is>
      </c>
      <c r="H24" s="40" t="b">
        <v>0</v>
      </c>
      <c r="I24" s="40" t="b">
        <v>0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39" t="inlineStr">
        <is>
          <t>BLANK_DEPLOYMENT</t>
        </is>
      </c>
      <c r="C25" s="40" t="inlineStr">
        <is>
          <t>GenericDelimited</t>
        </is>
      </c>
      <c r="D25" s="40" t="inlineStr">
        <is>
          <t>Contact</t>
        </is>
      </c>
      <c r="E25" s="40" t="inlineStr"/>
      <c r="F25" s="40" t="inlineStr">
        <is>
          <t>AfterContactSeconds</t>
        </is>
      </c>
      <c r="G25" s="40" t="inlineStr">
        <is>
          <t>number</t>
        </is>
      </c>
      <c r="H25" s="40" t="b">
        <v>0</v>
      </c>
      <c r="I25" s="40" t="b">
        <v>0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39" t="inlineStr">
        <is>
          <t>BLANK_DEPLOYMENT</t>
        </is>
      </c>
      <c r="C26" s="40" t="inlineStr">
        <is>
          <t>GenericDelimited</t>
        </is>
      </c>
      <c r="D26" s="40" t="inlineStr">
        <is>
          <t>WorkItem</t>
        </is>
      </c>
      <c r="E26" s="40" t="inlineStr"/>
      <c r="F26" s="40" t="inlineStr">
        <is>
          <t>SourceWorkItemID</t>
        </is>
      </c>
      <c r="G26" s="40" t="inlineStr">
        <is>
          <t>text</t>
        </is>
      </c>
      <c r="H26" s="40" t="b">
        <v>1</v>
      </c>
      <c r="I26" s="40" t="b">
        <v>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39" t="inlineStr">
        <is>
          <t>BLANK_DEPLOYMENT</t>
        </is>
      </c>
      <c r="C27" s="40" t="inlineStr">
        <is>
          <t>GenericDelimited</t>
        </is>
      </c>
      <c r="D27" s="40" t="inlineStr">
        <is>
          <t>WorkItem</t>
        </is>
      </c>
      <c r="E27" s="40" t="inlineStr"/>
      <c r="F27" s="40" t="inlineStr">
        <is>
          <t>CreatedAt</t>
        </is>
      </c>
      <c r="G27" s="40" t="inlineStr">
        <is>
          <t>datetime</t>
        </is>
      </c>
      <c r="H27" s="40" t="b">
        <v>1</v>
      </c>
      <c r="I27" s="40" t="b">
        <v>0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39" t="inlineStr">
        <is>
          <t>BLANK_DEPLOYMENT</t>
        </is>
      </c>
      <c r="C28" s="40" t="inlineStr">
        <is>
          <t>GenericDelimited</t>
        </is>
      </c>
      <c r="D28" s="40" t="inlineStr">
        <is>
          <t>WorkItem</t>
        </is>
      </c>
      <c r="E28" s="40" t="inlineStr"/>
      <c r="F28" s="40" t="inlineStr">
        <is>
          <t>CompletedAt</t>
        </is>
      </c>
      <c r="G28" s="40" t="inlineStr">
        <is>
          <t>datetime</t>
        </is>
      </c>
      <c r="H28" s="40" t="b">
        <v>0</v>
      </c>
      <c r="I28" s="40" t="b">
        <v>0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39" t="inlineStr">
        <is>
          <t>BLANK_DEPLOYMENT</t>
        </is>
      </c>
      <c r="C29" s="40" t="inlineStr">
        <is>
          <t>GenericDelimited</t>
        </is>
      </c>
      <c r="D29" s="40" t="inlineStr">
        <is>
          <t>WorkItem</t>
        </is>
      </c>
      <c r="E29" s="40" t="inlineStr"/>
      <c r="F29" s="40" t="inlineStr">
        <is>
          <t>ChannelExternalID</t>
        </is>
      </c>
      <c r="G29" s="40" t="inlineStr">
        <is>
          <t>text</t>
        </is>
      </c>
      <c r="H29" s="40" t="b">
        <v>1</v>
      </c>
      <c r="I29" s="40" t="b">
        <v>0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39" t="inlineStr">
        <is>
          <t>BLANK_DEPLOYMENT</t>
        </is>
      </c>
      <c r="C30" s="40" t="inlineStr">
        <is>
          <t>GenericDelimited</t>
        </is>
      </c>
      <c r="D30" s="40" t="inlineStr">
        <is>
          <t>WorkItem</t>
        </is>
      </c>
      <c r="E30" s="40" t="inlineStr"/>
      <c r="F30" s="40" t="inlineStr">
        <is>
          <t>WorkTypeExternalID</t>
        </is>
      </c>
      <c r="G30" s="40" t="inlineStr">
        <is>
          <t>text</t>
        </is>
      </c>
      <c r="H30" s="40" t="b">
        <v>1</v>
      </c>
      <c r="I30" s="40" t="b">
        <v>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39" t="inlineStr">
        <is>
          <t>BLANK_DEPLOYMENT</t>
        </is>
      </c>
      <c r="C31" s="40" t="inlineStr">
        <is>
          <t>GenericDelimited</t>
        </is>
      </c>
      <c r="D31" s="40" t="inlineStr">
        <is>
          <t>WorkItem</t>
        </is>
      </c>
      <c r="E31" s="40" t="inlineStr"/>
      <c r="F31" s="40" t="inlineStr">
        <is>
          <t>ActivityExternalID</t>
        </is>
      </c>
      <c r="G31" s="40" t="inlineStr">
        <is>
          <t>text</t>
        </is>
      </c>
      <c r="H31" s="40" t="b">
        <v>1</v>
      </c>
      <c r="I31" s="40" t="b">
        <v>0</v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39" t="inlineStr">
        <is>
          <t>BLANK_DEPLOYMENT</t>
        </is>
      </c>
      <c r="C32" s="40" t="inlineStr">
        <is>
          <t>GenericDelimited</t>
        </is>
      </c>
      <c r="D32" s="40" t="inlineStr">
        <is>
          <t>WorkItem</t>
        </is>
      </c>
      <c r="E32" s="40" t="inlineStr"/>
      <c r="F32" s="40" t="inlineStr">
        <is>
          <t>AgentExternalID</t>
        </is>
      </c>
      <c r="G32" s="40" t="inlineStr">
        <is>
          <t>text</t>
        </is>
      </c>
      <c r="H32" s="40" t="b">
        <v>0</v>
      </c>
      <c r="I32" s="40" t="b">
        <v>0</v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39" t="inlineStr">
        <is>
          <t>BLANK_DEPLOYMENT</t>
        </is>
      </c>
      <c r="C33" s="40" t="inlineStr">
        <is>
          <t>GenericDelimited</t>
        </is>
      </c>
      <c r="D33" s="40" t="inlineStr">
        <is>
          <t>WorkItem</t>
        </is>
      </c>
      <c r="E33" s="40" t="inlineStr"/>
      <c r="F33" s="40" t="inlineStr">
        <is>
          <t>StatusExternalID</t>
        </is>
      </c>
      <c r="G33" s="40" t="inlineStr">
        <is>
          <t>text</t>
        </is>
      </c>
      <c r="H33" s="40" t="b">
        <v>1</v>
      </c>
      <c r="I33" s="40" t="b">
        <v>0</v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9" t="inlineStr">
        <is>
          <t>BLANK_DEPLOYMENT</t>
        </is>
      </c>
      <c r="C34" s="40" t="inlineStr">
        <is>
          <t>GenericDelimited</t>
        </is>
      </c>
      <c r="D34" s="40" t="inlineStr">
        <is>
          <t>WorkItem</t>
        </is>
      </c>
      <c r="E34" s="40" t="inlineStr"/>
      <c r="F34" s="40" t="inlineStr">
        <is>
          <t>HandlingSeconds</t>
        </is>
      </c>
      <c r="G34" s="40" t="inlineStr">
        <is>
          <t>number</t>
        </is>
      </c>
      <c r="H34" s="40" t="b">
        <v>1</v>
      </c>
      <c r="I34" s="40" t="b">
        <v>0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39" t="inlineStr">
        <is>
          <t>BLANK_DEPLOYMENT</t>
        </is>
      </c>
      <c r="C35" s="40" t="inlineStr">
        <is>
          <t>GenericDelimited</t>
        </is>
      </c>
      <c r="D35" s="40" t="inlineStr">
        <is>
          <t>WorkItem</t>
        </is>
      </c>
      <c r="E35" s="40" t="inlineStr"/>
      <c r="F35" s="40" t="inlineStr">
        <is>
          <t>SlaDeadline</t>
        </is>
      </c>
      <c r="G35" s="40" t="inlineStr">
        <is>
          <t>text</t>
        </is>
      </c>
      <c r="H35" s="40" t="b">
        <v>1</v>
      </c>
      <c r="I35" s="40" t="b">
        <v>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39" t="inlineStr">
        <is>
          <t>BLANK_DEPLOYMENT</t>
        </is>
      </c>
      <c r="C36" s="40" t="inlineStr">
        <is>
          <t>GenericDelimited</t>
        </is>
      </c>
      <c r="D36" s="40" t="inlineStr">
        <is>
          <t>AgentEvent</t>
        </is>
      </c>
      <c r="E36" s="40" t="inlineStr"/>
      <c r="F36" s="40" t="inlineStr">
        <is>
          <t>SourceAgentEventID</t>
        </is>
      </c>
      <c r="G36" s="40" t="inlineStr">
        <is>
          <t>text</t>
        </is>
      </c>
      <c r="H36" s="40" t="b">
        <v>1</v>
      </c>
      <c r="I36" s="40" t="b">
        <v>0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39" t="inlineStr">
        <is>
          <t>BLANK_DEPLOYMENT</t>
        </is>
      </c>
      <c r="C37" s="40" t="inlineStr">
        <is>
          <t>GenericDelimited</t>
        </is>
      </c>
      <c r="D37" s="40" t="inlineStr">
        <is>
          <t>AgentEvent</t>
        </is>
      </c>
      <c r="E37" s="40" t="inlineStr"/>
      <c r="F37" s="40" t="inlineStr">
        <is>
          <t>AgentExternalID</t>
        </is>
      </c>
      <c r="G37" s="40" t="inlineStr">
        <is>
          <t>text</t>
        </is>
      </c>
      <c r="H37" s="40" t="b">
        <v>0</v>
      </c>
      <c r="I37" s="40" t="b">
        <v>0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39" t="inlineStr">
        <is>
          <t>BLANK_DEPLOYMENT</t>
        </is>
      </c>
      <c r="C38" s="40" t="inlineStr">
        <is>
          <t>GenericDelimited</t>
        </is>
      </c>
      <c r="D38" s="40" t="inlineStr">
        <is>
          <t>AgentEvent</t>
        </is>
      </c>
      <c r="E38" s="40" t="inlineStr"/>
      <c r="F38" s="40" t="inlineStr">
        <is>
          <t>EventStart</t>
        </is>
      </c>
      <c r="G38" s="40" t="inlineStr">
        <is>
          <t>datetime</t>
        </is>
      </c>
      <c r="H38" s="40" t="b">
        <v>1</v>
      </c>
      <c r="I38" s="40" t="b">
        <v>0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39" t="inlineStr">
        <is>
          <t>BLANK_DEPLOYMENT</t>
        </is>
      </c>
      <c r="C39" s="40" t="inlineStr">
        <is>
          <t>GenericDelimited</t>
        </is>
      </c>
      <c r="D39" s="40" t="inlineStr">
        <is>
          <t>AgentEvent</t>
        </is>
      </c>
      <c r="E39" s="40" t="inlineStr"/>
      <c r="F39" s="40" t="inlineStr">
        <is>
          <t>EventEnd</t>
        </is>
      </c>
      <c r="G39" s="40" t="inlineStr">
        <is>
          <t>datetime</t>
        </is>
      </c>
      <c r="H39" s="40" t="b">
        <v>1</v>
      </c>
      <c r="I39" s="40" t="b">
        <v>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39" t="inlineStr">
        <is>
          <t>BLANK_DEPLOYMENT</t>
        </is>
      </c>
      <c r="C40" s="40" t="inlineStr">
        <is>
          <t>GenericDelimited</t>
        </is>
      </c>
      <c r="D40" s="40" t="inlineStr">
        <is>
          <t>AgentEvent</t>
        </is>
      </c>
      <c r="E40" s="40" t="inlineStr"/>
      <c r="F40" s="40" t="inlineStr">
        <is>
          <t>StateExternalID</t>
        </is>
      </c>
      <c r="G40" s="40" t="inlineStr">
        <is>
          <t>text</t>
        </is>
      </c>
      <c r="H40" s="40" t="b">
        <v>1</v>
      </c>
      <c r="I40" s="40" t="b">
        <v>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39" t="inlineStr">
        <is>
          <t>BLANK_DEPLOYMENT</t>
        </is>
      </c>
      <c r="C41" s="40" t="inlineStr">
        <is>
          <t>GenericDelimited</t>
        </is>
      </c>
      <c r="D41" s="40" t="inlineStr">
        <is>
          <t>LoginSession</t>
        </is>
      </c>
      <c r="E41" s="40" t="inlineStr"/>
      <c r="F41" s="40" t="inlineStr">
        <is>
          <t>SourceLoginSessionID</t>
        </is>
      </c>
      <c r="G41" s="40" t="inlineStr">
        <is>
          <t>text</t>
        </is>
      </c>
      <c r="H41" s="40" t="b">
        <v>1</v>
      </c>
      <c r="I41" s="40" t="b">
        <v>0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39" t="inlineStr">
        <is>
          <t>BLANK_DEPLOYMENT</t>
        </is>
      </c>
      <c r="C42" s="40" t="inlineStr">
        <is>
          <t>GenericDelimited</t>
        </is>
      </c>
      <c r="D42" s="40" t="inlineStr">
        <is>
          <t>LoginSession</t>
        </is>
      </c>
      <c r="E42" s="40" t="inlineStr"/>
      <c r="F42" s="40" t="inlineStr">
        <is>
          <t>AgentExternalID</t>
        </is>
      </c>
      <c r="G42" s="40" t="inlineStr">
        <is>
          <t>text</t>
        </is>
      </c>
      <c r="H42" s="40" t="b">
        <v>0</v>
      </c>
      <c r="I42" s="40" t="b">
        <v>0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39" t="inlineStr">
        <is>
          <t>BLANK_DEPLOYMENT</t>
        </is>
      </c>
      <c r="C43" s="40" t="inlineStr">
        <is>
          <t>GenericDelimited</t>
        </is>
      </c>
      <c r="D43" s="40" t="inlineStr">
        <is>
          <t>LoginSession</t>
        </is>
      </c>
      <c r="E43" s="40" t="inlineStr"/>
      <c r="F43" s="40" t="inlineStr">
        <is>
          <t>LoginAt</t>
        </is>
      </c>
      <c r="G43" s="40" t="inlineStr">
        <is>
          <t>datetime</t>
        </is>
      </c>
      <c r="H43" s="40" t="b">
        <v>1</v>
      </c>
      <c r="I43" s="40" t="b">
        <v>0</v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39" t="inlineStr">
        <is>
          <t>BLANK_DEPLOYMENT</t>
        </is>
      </c>
      <c r="C44" s="40" t="inlineStr">
        <is>
          <t>GenericDelimited</t>
        </is>
      </c>
      <c r="D44" s="40" t="inlineStr">
        <is>
          <t>LoginSession</t>
        </is>
      </c>
      <c r="E44" s="40" t="inlineStr"/>
      <c r="F44" s="40" t="inlineStr">
        <is>
          <t>LogoutAt</t>
        </is>
      </c>
      <c r="G44" s="40" t="inlineStr">
        <is>
          <t>datetime</t>
        </is>
      </c>
      <c r="H44" s="40" t="b">
        <v>1</v>
      </c>
      <c r="I44" s="40" t="b">
        <v>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39" t="inlineStr">
        <is>
          <t>BLANK_DEPLOYMENT</t>
        </is>
      </c>
      <c r="C45" s="40" t="inlineStr">
        <is>
          <t>GenericDelimited</t>
        </is>
      </c>
      <c r="D45" s="40" t="inlineStr">
        <is>
          <t>ScheduleSegment</t>
        </is>
      </c>
      <c r="E45" s="40" t="inlineStr"/>
      <c r="F45" s="40" t="inlineStr">
        <is>
          <t>SourceScheduleSegmentID</t>
        </is>
      </c>
      <c r="G45" s="40" t="inlineStr">
        <is>
          <t>text</t>
        </is>
      </c>
      <c r="H45" s="40" t="b">
        <v>1</v>
      </c>
      <c r="I45" s="40" t="b">
        <v>0</v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39" t="inlineStr">
        <is>
          <t>BLANK_DEPLOYMENT</t>
        </is>
      </c>
      <c r="C46" s="40" t="inlineStr">
        <is>
          <t>GenericDelimited</t>
        </is>
      </c>
      <c r="D46" s="40" t="inlineStr">
        <is>
          <t>ScheduleSegment</t>
        </is>
      </c>
      <c r="E46" s="40" t="inlineStr"/>
      <c r="F46" s="40" t="inlineStr">
        <is>
          <t>AgentExternalID</t>
        </is>
      </c>
      <c r="G46" s="40" t="inlineStr">
        <is>
          <t>text</t>
        </is>
      </c>
      <c r="H46" s="40" t="b">
        <v>0</v>
      </c>
      <c r="I46" s="40" t="b">
        <v>0</v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39" t="inlineStr">
        <is>
          <t>BLANK_DEPLOYMENT</t>
        </is>
      </c>
      <c r="C47" s="40" t="inlineStr">
        <is>
          <t>GenericDelimited</t>
        </is>
      </c>
      <c r="D47" s="40" t="inlineStr">
        <is>
          <t>ScheduleSegment</t>
        </is>
      </c>
      <c r="E47" s="40" t="inlineStr"/>
      <c r="F47" s="40" t="inlineStr">
        <is>
          <t>ScheduledStart</t>
        </is>
      </c>
      <c r="G47" s="40" t="inlineStr">
        <is>
          <t>datetime</t>
        </is>
      </c>
      <c r="H47" s="40" t="b">
        <v>1</v>
      </c>
      <c r="I47" s="40" t="b">
        <v>0</v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39" t="inlineStr">
        <is>
          <t>BLANK_DEPLOYMENT</t>
        </is>
      </c>
      <c r="C48" s="40" t="inlineStr">
        <is>
          <t>GenericDelimited</t>
        </is>
      </c>
      <c r="D48" s="40" t="inlineStr">
        <is>
          <t>ScheduleSegment</t>
        </is>
      </c>
      <c r="E48" s="40" t="inlineStr"/>
      <c r="F48" s="40" t="inlineStr">
        <is>
          <t>ScheduledEnd</t>
        </is>
      </c>
      <c r="G48" s="40" t="inlineStr">
        <is>
          <t>datetime</t>
        </is>
      </c>
      <c r="H48" s="40" t="b">
        <v>1</v>
      </c>
      <c r="I48" s="40" t="b">
        <v>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39" t="inlineStr">
        <is>
          <t>BLANK_DEPLOYMENT</t>
        </is>
      </c>
      <c r="C49" s="40" t="inlineStr">
        <is>
          <t>GenericDelimited</t>
        </is>
      </c>
      <c r="D49" s="40" t="inlineStr">
        <is>
          <t>ScheduleSegment</t>
        </is>
      </c>
      <c r="E49" s="40" t="inlineStr"/>
      <c r="F49" s="40" t="inlineStr">
        <is>
          <t>ActivityExternalID</t>
        </is>
      </c>
      <c r="G49" s="40" t="inlineStr">
        <is>
          <t>text</t>
        </is>
      </c>
      <c r="H49" s="40" t="b">
        <v>1</v>
      </c>
      <c r="I49" s="40" t="b">
        <v>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39" t="inlineStr">
        <is>
          <t>BLANK_DEPLOYMENT</t>
        </is>
      </c>
      <c r="C50" s="40" t="inlineStr">
        <is>
          <t>GenericDelimited</t>
        </is>
      </c>
      <c r="D50" s="40" t="inlineStr">
        <is>
          <t>ScheduleSegment</t>
        </is>
      </c>
      <c r="E50" s="40" t="inlineStr"/>
      <c r="F50" s="40" t="inlineStr">
        <is>
          <t>ScheduleTypeExternalID</t>
        </is>
      </c>
      <c r="G50" s="40" t="inlineStr">
        <is>
          <t>text</t>
        </is>
      </c>
      <c r="H50" s="40" t="b">
        <v>1</v>
      </c>
      <c r="I50" s="40" t="b">
        <v>0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39" t="inlineStr">
        <is>
          <t>BLANK_DEPLOYMENT</t>
        </is>
      </c>
      <c r="C51" s="40" t="inlineStr">
        <is>
          <t>GenericDelimited</t>
        </is>
      </c>
      <c r="D51" s="40" t="inlineStr">
        <is>
          <t>ScheduleSegment</t>
        </is>
      </c>
      <c r="E51" s="40" t="inlineStr"/>
      <c r="F51" s="40" t="inlineStr">
        <is>
          <t>PaidFlag</t>
        </is>
      </c>
      <c r="G51" s="40" t="inlineStr">
        <is>
          <t>boolean</t>
        </is>
      </c>
      <c r="H51" s="40" t="b">
        <v>1</v>
      </c>
      <c r="I51" s="40" t="b">
        <v>0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39" t="inlineStr">
        <is>
          <t>BLANK_DEPLOYMENT</t>
        </is>
      </c>
      <c r="C52" s="40" t="inlineStr">
        <is>
          <t>GenericDelimited</t>
        </is>
      </c>
      <c r="D52" s="40" t="inlineStr">
        <is>
          <t>ScheduleSegment</t>
        </is>
      </c>
      <c r="E52" s="40" t="inlineStr"/>
      <c r="F52" s="40" t="inlineStr">
        <is>
          <t>ProductiveFlag</t>
        </is>
      </c>
      <c r="G52" s="40" t="inlineStr">
        <is>
          <t>boolean</t>
        </is>
      </c>
      <c r="H52" s="40" t="b">
        <v>1</v>
      </c>
      <c r="I52" s="40" t="b">
        <v>0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39" t="inlineStr">
        <is>
          <t>BLANK_DEPLOYMENT</t>
        </is>
      </c>
      <c r="C53" s="40" t="inlineStr">
        <is>
          <t>GenericDelimited</t>
        </is>
      </c>
      <c r="D53" s="40" t="inlineStr">
        <is>
          <t>StaffingRequirement</t>
        </is>
      </c>
      <c r="E53" s="40" t="inlineStr"/>
      <c r="F53" s="40" t="inlineStr">
        <is>
          <t>SourceRequirementID</t>
        </is>
      </c>
      <c r="G53" s="40" t="inlineStr">
        <is>
          <t>text</t>
        </is>
      </c>
      <c r="H53" s="40" t="b">
        <v>1</v>
      </c>
      <c r="I53" s="40" t="b">
        <v>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39" t="inlineStr">
        <is>
          <t>BLANK_DEPLOYMENT</t>
        </is>
      </c>
      <c r="C54" s="40" t="inlineStr">
        <is>
          <t>GenericDelimited</t>
        </is>
      </c>
      <c r="D54" s="40" t="inlineStr">
        <is>
          <t>StaffingRequirement</t>
        </is>
      </c>
      <c r="E54" s="40" t="inlineStr"/>
      <c r="F54" s="40" t="inlineStr">
        <is>
          <t>IntervalStart</t>
        </is>
      </c>
      <c r="G54" s="40" t="inlineStr">
        <is>
          <t>datetime</t>
        </is>
      </c>
      <c r="H54" s="40" t="b">
        <v>1</v>
      </c>
      <c r="I54" s="40" t="b">
        <v>0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39" t="inlineStr">
        <is>
          <t>BLANK_DEPLOYMENT</t>
        </is>
      </c>
      <c r="C55" s="40" t="inlineStr">
        <is>
          <t>GenericDelimited</t>
        </is>
      </c>
      <c r="D55" s="40" t="inlineStr">
        <is>
          <t>StaffingRequirement</t>
        </is>
      </c>
      <c r="E55" s="40" t="inlineStr"/>
      <c r="F55" s="40" t="inlineStr">
        <is>
          <t>ActivityExternalID</t>
        </is>
      </c>
      <c r="G55" s="40" t="inlineStr">
        <is>
          <t>text</t>
        </is>
      </c>
      <c r="H55" s="40" t="b">
        <v>1</v>
      </c>
      <c r="I55" s="40" t="b">
        <v>0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39" t="inlineStr">
        <is>
          <t>BLANK_DEPLOYMENT</t>
        </is>
      </c>
      <c r="C56" s="40" t="inlineStr">
        <is>
          <t>GenericDelimited</t>
        </is>
      </c>
      <c r="D56" s="40" t="inlineStr">
        <is>
          <t>StaffingRequirement</t>
        </is>
      </c>
      <c r="E56" s="40" t="inlineStr"/>
      <c r="F56" s="40" t="inlineStr">
        <is>
          <t>RequiredFTE</t>
        </is>
      </c>
      <c r="G56" s="40" t="inlineStr">
        <is>
          <t>number</t>
        </is>
      </c>
      <c r="H56" s="40" t="b">
        <v>1</v>
      </c>
      <c r="I56" s="40" t="b">
        <v>0</v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39" t="inlineStr">
        <is>
          <t>BLANK_DEPLOYMENT</t>
        </is>
      </c>
      <c r="C57" s="40" t="inlineStr">
        <is>
          <t>GenericDelimited</t>
        </is>
      </c>
      <c r="D57" s="40" t="inlineStr">
        <is>
          <t>StaffingRequirement</t>
        </is>
      </c>
      <c r="E57" s="40" t="inlineStr"/>
      <c r="F57" s="40" t="inlineStr">
        <is>
          <t>RequirementVersion</t>
        </is>
      </c>
      <c r="G57" s="40" t="inlineStr">
        <is>
          <t>text</t>
        </is>
      </c>
      <c r="H57" s="40" t="b">
        <v>0</v>
      </c>
      <c r="I57" s="40" t="b">
        <v>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39" t="inlineStr">
        <is>
          <t>BLANK_DEPLOYMENT</t>
        </is>
      </c>
      <c r="C58" s="40" t="inlineStr">
        <is>
          <t>GenericDelimited</t>
        </is>
      </c>
      <c r="D58" s="40" t="inlineStr">
        <is>
          <t>StaffingRequirement</t>
        </is>
      </c>
      <c r="E58" s="40" t="inlineStr"/>
      <c r="F58" s="40" t="inlineStr">
        <is>
          <t>ApprovedFlag</t>
        </is>
      </c>
      <c r="G58" s="40" t="inlineStr">
        <is>
          <t>boolean</t>
        </is>
      </c>
      <c r="H58" s="40" t="b">
        <v>1</v>
      </c>
      <c r="I58" s="40" t="b">
        <v>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39" t="inlineStr">
        <is>
          <t>BLANK_DEPLOYMENT</t>
        </is>
      </c>
      <c r="C59" s="40" t="inlineStr">
        <is>
          <t>GenericDelimited</t>
        </is>
      </c>
      <c r="D59" s="40" t="inlineStr">
        <is>
          <t>Forecast</t>
        </is>
      </c>
      <c r="E59" s="40" t="inlineStr"/>
      <c r="F59" s="40" t="inlineStr">
        <is>
          <t>ForecastVersionKey</t>
        </is>
      </c>
      <c r="G59" s="40" t="inlineStr">
        <is>
          <t>text</t>
        </is>
      </c>
      <c r="H59" s="40" t="b">
        <v>1</v>
      </c>
      <c r="I59" s="40" t="b">
        <v>0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39" t="inlineStr">
        <is>
          <t>BLANK_DEPLOYMENT</t>
        </is>
      </c>
      <c r="C60" s="40" t="inlineStr">
        <is>
          <t>GenericDelimited</t>
        </is>
      </c>
      <c r="D60" s="40" t="inlineStr">
        <is>
          <t>Forecast</t>
        </is>
      </c>
      <c r="E60" s="40" t="inlineStr"/>
      <c r="F60" s="40" t="inlineStr">
        <is>
          <t>ApprovalStatus</t>
        </is>
      </c>
      <c r="G60" s="40" t="inlineStr">
        <is>
          <t>text</t>
        </is>
      </c>
      <c r="H60" s="40" t="b">
        <v>1</v>
      </c>
      <c r="I60" s="40" t="b">
        <v>0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39" t="inlineStr">
        <is>
          <t>BLANK_DEPLOYMENT</t>
        </is>
      </c>
      <c r="C61" s="40" t="inlineStr">
        <is>
          <t>GenericDelimited</t>
        </is>
      </c>
      <c r="D61" s="40" t="inlineStr">
        <is>
          <t>Forecast</t>
        </is>
      </c>
      <c r="E61" s="40" t="inlineStr"/>
      <c r="F61" s="40" t="inlineStr">
        <is>
          <t>Scenario</t>
        </is>
      </c>
      <c r="G61" s="40" t="inlineStr">
        <is>
          <t>text</t>
        </is>
      </c>
      <c r="H61" s="40" t="b">
        <v>0</v>
      </c>
      <c r="I61" s="40" t="b">
        <v>0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39" t="inlineStr">
        <is>
          <t>BLANK_DEPLOYMENT</t>
        </is>
      </c>
      <c r="C62" s="40" t="inlineStr">
        <is>
          <t>GenericDelimited</t>
        </is>
      </c>
      <c r="D62" s="40" t="inlineStr">
        <is>
          <t>Forecast</t>
        </is>
      </c>
      <c r="E62" s="40" t="inlineStr"/>
      <c r="F62" s="40" t="inlineStr">
        <is>
          <t>Method</t>
        </is>
      </c>
      <c r="G62" s="40" t="inlineStr">
        <is>
          <t>text</t>
        </is>
      </c>
      <c r="H62" s="40" t="b">
        <v>1</v>
      </c>
      <c r="I62" s="40" t="b">
        <v>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39" t="inlineStr">
        <is>
          <t>BLANK_DEPLOYMENT</t>
        </is>
      </c>
      <c r="C63" s="40" t="inlineStr">
        <is>
          <t>GenericDelimited</t>
        </is>
      </c>
      <c r="D63" s="40" t="inlineStr">
        <is>
          <t>Forecast</t>
        </is>
      </c>
      <c r="E63" s="40" t="inlineStr"/>
      <c r="F63" s="40" t="inlineStr">
        <is>
          <t>ActivityKey</t>
        </is>
      </c>
      <c r="G63" s="40" t="inlineStr">
        <is>
          <t>text</t>
        </is>
      </c>
      <c r="H63" s="40" t="b">
        <v>1</v>
      </c>
      <c r="I63" s="40" t="b">
        <v>0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39" t="inlineStr">
        <is>
          <t>BLANK_DEPLOYMENT</t>
        </is>
      </c>
      <c r="C64" s="40" t="inlineStr">
        <is>
          <t>GenericDelimited</t>
        </is>
      </c>
      <c r="D64" s="40" t="inlineStr">
        <is>
          <t>Forecast</t>
        </is>
      </c>
      <c r="E64" s="40" t="inlineStr"/>
      <c r="F64" s="40" t="inlineStr">
        <is>
          <t>ChannelKey</t>
        </is>
      </c>
      <c r="G64" s="40" t="inlineStr">
        <is>
          <t>text</t>
        </is>
      </c>
      <c r="H64" s="40" t="b">
        <v>1</v>
      </c>
      <c r="I64" s="40" t="b">
        <v>0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39" t="inlineStr">
        <is>
          <t>BLANK_DEPLOYMENT</t>
        </is>
      </c>
      <c r="C65" s="40" t="inlineStr">
        <is>
          <t>GenericDelimited</t>
        </is>
      </c>
      <c r="D65" s="40" t="inlineStr">
        <is>
          <t>Forecast</t>
        </is>
      </c>
      <c r="E65" s="40" t="inlineStr"/>
      <c r="F65" s="40" t="inlineStr">
        <is>
          <t>IntervalStart</t>
        </is>
      </c>
      <c r="G65" s="40" t="inlineStr">
        <is>
          <t>datetime</t>
        </is>
      </c>
      <c r="H65" s="40" t="b">
        <v>1</v>
      </c>
      <c r="I65" s="40" t="b">
        <v>0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39" t="inlineStr">
        <is>
          <t>BLANK_DEPLOYMENT</t>
        </is>
      </c>
      <c r="C66" s="40" t="inlineStr">
        <is>
          <t>GenericDelimited</t>
        </is>
      </c>
      <c r="D66" s="40" t="inlineStr">
        <is>
          <t>Forecast</t>
        </is>
      </c>
      <c r="E66" s="40" t="inlineStr"/>
      <c r="F66" s="40" t="inlineStr">
        <is>
          <t>ForecastVolume</t>
        </is>
      </c>
      <c r="G66" s="40" t="inlineStr">
        <is>
          <t>number</t>
        </is>
      </c>
      <c r="H66" s="40" t="b">
        <v>1</v>
      </c>
      <c r="I66" s="40" t="b">
        <v>0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39" t="inlineStr">
        <is>
          <t>BLANK_DEPLOYMENT</t>
        </is>
      </c>
      <c r="C67" s="40" t="inlineStr">
        <is>
          <t>GenericDelimited</t>
        </is>
      </c>
      <c r="D67" s="40" t="inlineStr">
        <is>
          <t>Forecast</t>
        </is>
      </c>
      <c r="E67" s="40" t="inlineStr"/>
      <c r="F67" s="40" t="inlineStr">
        <is>
          <t>ForecastAHTSeconds</t>
        </is>
      </c>
      <c r="G67" s="40" t="inlineStr">
        <is>
          <t>number</t>
        </is>
      </c>
      <c r="H67" s="40" t="b">
        <v>1</v>
      </c>
      <c r="I67" s="40" t="b">
        <v>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39" t="inlineStr">
        <is>
          <t>BLANK_DEPLOYMENT</t>
        </is>
      </c>
      <c r="C68" s="40" t="inlineStr">
        <is>
          <t>GenericDelimited</t>
        </is>
      </c>
      <c r="D68" s="40" t="inlineStr">
        <is>
          <t>Forecast</t>
        </is>
      </c>
      <c r="E68" s="40" t="inlineStr"/>
      <c r="F68" s="40" t="inlineStr">
        <is>
          <t>CreatedAt</t>
        </is>
      </c>
      <c r="G68" s="40" t="inlineStr">
        <is>
          <t>datetime</t>
        </is>
      </c>
      <c r="H68" s="40" t="b">
        <v>1</v>
      </c>
      <c r="I68" s="40" t="b">
        <v>0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39" t="inlineStr">
        <is>
          <t>BLANK_DEPLOYMENT</t>
        </is>
      </c>
      <c r="C69" s="40" t="inlineStr">
        <is>
          <t>GenericDelimited</t>
        </is>
      </c>
      <c r="D69" s="40" t="inlineStr">
        <is>
          <t>Forecast</t>
        </is>
      </c>
      <c r="E69" s="40" t="inlineStr"/>
      <c r="F69" s="40" t="inlineStr">
        <is>
          <t>ApprovedAt</t>
        </is>
      </c>
      <c r="G69" s="40" t="inlineStr">
        <is>
          <t>datetime</t>
        </is>
      </c>
      <c r="H69" s="40" t="b">
        <v>0</v>
      </c>
      <c r="I69" s="40" t="b">
        <v>0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39" t="inlineStr">
        <is>
          <t>BLANK_DEPLOYMENT</t>
        </is>
      </c>
      <c r="C70" s="40" t="inlineStr">
        <is>
          <t>GenericDelimited</t>
        </is>
      </c>
      <c r="D70" s="40" t="inlineStr">
        <is>
          <t>Forecast</t>
        </is>
      </c>
      <c r="E70" s="40" t="inlineStr"/>
      <c r="F70" s="40" t="inlineStr">
        <is>
          <t>ApprovedBy</t>
        </is>
      </c>
      <c r="G70" s="40" t="inlineStr">
        <is>
          <t>text</t>
        </is>
      </c>
      <c r="H70" s="40" t="b">
        <v>0</v>
      </c>
      <c r="I70" s="40" t="b">
        <v>0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39" t="inlineStr">
        <is>
          <t>BLANK_DEPLOYMENT</t>
        </is>
      </c>
      <c r="C71" s="40" t="inlineStr">
        <is>
          <t>GenericDelimited</t>
        </is>
      </c>
      <c r="D71" s="40" t="inlineStr">
        <is>
          <t>Forecast</t>
        </is>
      </c>
      <c r="E71" s="40" t="inlineStr"/>
      <c r="F71" s="40" t="inlineStr">
        <is>
          <t>SourceRunKey</t>
        </is>
      </c>
      <c r="G71" s="40" t="inlineStr">
        <is>
          <t>text</t>
        </is>
      </c>
      <c r="H71" s="40" t="b">
        <v>0</v>
      </c>
      <c r="I71" s="40" t="b">
        <v>0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VALUE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Value mapping</t>
        </is>
      </c>
      <c r="R4" s="1" t="n"/>
    </row>
    <row r="5" ht="22" customHeight="1">
      <c r="A5" s="1" t="n"/>
      <c r="B5" s="33" t="inlineStr">
        <is>
          <t>Translate external codes into governed canonical values.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Domain</t>
        </is>
      </c>
      <c r="E13" s="38" t="inlineStr">
        <is>
          <t>SourceValue</t>
        </is>
      </c>
      <c r="F13" s="38" t="inlineStr">
        <is>
          <t>CanonicalValue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PEOPLE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People</t>
        </is>
      </c>
      <c r="R4" s="1" t="n"/>
    </row>
    <row r="5" ht="22" customHeight="1">
      <c r="A5" s="1" t="n"/>
      <c r="B5" s="33" t="inlineStr">
        <is>
          <t>Govern the effective-dated workforce dimension without exposing source identities.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AgentKey</t>
        </is>
      </c>
      <c r="D13" s="38" t="inlineStr">
        <is>
          <t>EmployeeBusinessID</t>
        </is>
      </c>
      <c r="E13" s="38" t="inlineStr">
        <is>
          <t>DisplayName</t>
        </is>
      </c>
      <c r="F13" s="38" t="inlineStr">
        <is>
          <t>ActivityKey</t>
        </is>
      </c>
      <c r="G13" s="38" t="inlineStr">
        <is>
          <t>TeamKey</t>
        </is>
      </c>
      <c r="H13" s="38" t="inlineStr">
        <is>
          <t>ManagerKey</t>
        </is>
      </c>
      <c r="I13" s="38" t="inlineStr">
        <is>
          <t>SiteKey</t>
        </is>
      </c>
      <c r="J13" s="38" t="inlineStr">
        <is>
          <t>ContractHours</t>
        </is>
      </c>
      <c r="K13" s="38" t="inlineStr">
        <is>
          <t>ValidFrom</t>
        </is>
      </c>
      <c r="L13" s="38" t="inlineStr">
        <is>
          <t>ValidTo</t>
        </is>
      </c>
      <c r="M13" s="38" t="inlineStr">
        <is>
          <t>EmploymentStatus</t>
        </is>
      </c>
      <c r="N13" s="38" t="inlineStr">
        <is>
          <t>Enabled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N14:N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IDENTITY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Identity mapping</t>
        </is>
      </c>
      <c r="R4" s="1" t="n"/>
    </row>
    <row r="5" ht="22" customHeight="1">
      <c r="A5" s="1" t="n"/>
      <c r="B5" s="33" t="inlineStr">
        <is>
          <t>Resolve each source-system identity to one dated canonical agent key.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ExternalAgentID</t>
        </is>
      </c>
      <c r="E13" s="38" t="inlineStr">
        <is>
          <t>AgentKey</t>
        </is>
      </c>
      <c r="F13" s="38" t="inlineStr">
        <is>
          <t>ValidFrom</t>
        </is>
      </c>
      <c r="G13" s="38" t="inlineStr">
        <is>
          <t>ValidTo</t>
        </is>
      </c>
      <c r="H13" s="38" t="inlineStr">
        <is>
          <t>Enabled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H14:H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ACTIVITIES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Activities</t>
        </is>
      </c>
      <c r="R4" s="1" t="n"/>
    </row>
    <row r="5" ht="22" customHeight="1">
      <c r="A5" s="1" t="n"/>
      <c r="B5" s="33" t="inlineStr">
        <is>
          <t>Define the stable operating activities used across the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ActivityKey</t>
        </is>
      </c>
      <c r="D13" s="38" t="inlineStr">
        <is>
          <t>ActivityName</t>
        </is>
      </c>
      <c r="E13" s="38" t="inlineStr">
        <is>
          <t>ChannelKey</t>
        </is>
      </c>
      <c r="F13" s="38" t="inlineStr">
        <is>
          <t>Timezone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QUEUE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Queue mapping</t>
        </is>
      </c>
      <c r="R4" s="1" t="n"/>
    </row>
    <row r="5" ht="22" customHeight="1">
      <c r="A5" s="1" t="n"/>
      <c r="B5" s="33" t="inlineStr">
        <is>
          <t>Map source queues to canonical queues, activities, and channels.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SourceQueueID</t>
        </is>
      </c>
      <c r="E13" s="38" t="inlineStr">
        <is>
          <t>QueueKey</t>
        </is>
      </c>
      <c r="F13" s="38" t="inlineStr">
        <is>
          <t>QueueName</t>
        </is>
      </c>
      <c r="G13" s="38" t="inlineStr">
        <is>
          <t>ActivityKey</t>
        </is>
      </c>
      <c r="H13" s="38" t="inlineStr">
        <is>
          <t>ChannelKey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Enabled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K14:K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8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STATE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State mapping</t>
        </is>
      </c>
      <c r="R4" s="1" t="n"/>
    </row>
    <row r="5" ht="22" customHeight="1">
      <c r="A5" s="1" t="n"/>
      <c r="B5" s="33" t="inlineStr">
        <is>
          <t>Map source states to canonical presence and adherence behavior.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SourceStateID</t>
        </is>
      </c>
      <c r="E13" s="38" t="inlineStr">
        <is>
          <t>StateKey</t>
        </is>
      </c>
      <c r="F13" s="38" t="inlineStr">
        <is>
          <t>StateName</t>
        </is>
      </c>
      <c r="G13" s="38" t="inlineStr">
        <is>
          <t>AdherenceClass</t>
        </is>
      </c>
      <c r="H13" s="38" t="inlineStr">
        <is>
          <t>PresentFlag</t>
        </is>
      </c>
      <c r="I13" s="38" t="inlineStr">
        <is>
          <t>ProductiveFlag</t>
        </is>
      </c>
      <c r="J13" s="38" t="inlineStr">
        <is>
          <t>ValidFrom</t>
        </is>
      </c>
      <c r="K13" s="38" t="inlineStr">
        <is>
          <t>ValidTo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9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TARGETS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Targets</t>
        </is>
      </c>
      <c r="R4" s="1" t="n"/>
    </row>
    <row r="5" ht="22" customHeight="1">
      <c r="A5" s="1" t="n"/>
      <c r="B5" s="33" t="inlineStr">
        <is>
          <t>Govern operational targets by scope and effective period.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TargetKey</t>
        </is>
      </c>
      <c r="C13" s="38" t="inlineStr">
        <is>
          <t>MetricKey</t>
        </is>
      </c>
      <c r="D13" s="38" t="inlineStr">
        <is>
          <t>ActivityKey</t>
        </is>
      </c>
      <c r="E13" s="38" t="inlineStr">
        <is>
          <t>Channel</t>
        </is>
      </c>
      <c r="F13" s="38" t="inlineStr">
        <is>
          <t>TargetValue</t>
        </is>
      </c>
      <c r="G13" s="38" t="inlineStr">
        <is>
          <t>Unit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38" t="inlineStr">
        <is>
          <t>Owner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2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CALENDAR EVENTS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Calendar events</t>
        </is>
      </c>
      <c r="R4" s="1" t="n"/>
    </row>
    <row r="5" ht="22" customHeight="1">
      <c r="A5" s="1" t="n"/>
      <c r="B5" s="33" t="inlineStr">
        <is>
          <t>Record dated events and quantified demand or capacity effects.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EventKey</t>
        </is>
      </c>
      <c r="D13" s="38" t="inlineStr">
        <is>
          <t>EventName</t>
        </is>
      </c>
      <c r="E13" s="38" t="inlineStr">
        <is>
          <t>EventType</t>
        </is>
      </c>
      <c r="F13" s="38" t="inlineStr">
        <is>
          <t>ActivityKey</t>
        </is>
      </c>
      <c r="G13" s="38" t="inlineStr">
        <is>
          <t>ChannelKey</t>
        </is>
      </c>
      <c r="H13" s="38" t="inlineStr">
        <is>
          <t>StartAt</t>
        </is>
      </c>
      <c r="I13" s="38" t="inlineStr">
        <is>
          <t>EndAt</t>
        </is>
      </c>
      <c r="J13" s="38" t="inlineStr">
        <is>
          <t>ImpactType</t>
        </is>
      </c>
      <c r="K13" s="38" t="inlineStr">
        <is>
          <t>ImpactValue</t>
        </is>
      </c>
      <c r="L13" s="38" t="inlineStr">
        <is>
          <t>Approved</t>
        </is>
      </c>
      <c r="M13" s="38" t="inlineStr">
        <is>
          <t>Owner</t>
        </is>
      </c>
      <c r="N13" s="38" t="inlineStr">
        <is>
          <t>Notes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L14:L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J14:J1000" showDropDown="0" showInputMessage="1" showErrorMessage="1" allowBlank="1" errorTitle="Invalid controlled value" error="Select a value from the governed list." promptTitle="WFM OS control" prompt="Choose the governed impact domain." type="list">
      <formula1>=PLANNING_IMPACT_LIST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4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SHIFT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Shift rules</t>
        </is>
      </c>
      <c r="R4" s="1" t="n"/>
    </row>
    <row r="5" ht="22" customHeight="1">
      <c r="A5" s="1" t="n"/>
      <c r="B5" s="33" t="inlineStr">
        <is>
          <t>Define contract, shift, break, and coverage constraints.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RuleKey</t>
        </is>
      </c>
      <c r="C13" s="38" t="inlineStr">
        <is>
          <t>RuleType</t>
        </is>
      </c>
      <c r="D13" s="38" t="inlineStr">
        <is>
          <t>ScopeKey</t>
        </is>
      </c>
      <c r="E13" s="38" t="inlineStr">
        <is>
          <t>Value</t>
        </is>
      </c>
      <c r="F13" s="38" t="inlineStr">
        <is>
          <t>Unit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38" t="inlineStr">
        <is>
          <t>Owner</t>
        </is>
      </c>
      <c r="K13" s="38" t="inlineStr">
        <is>
          <t>Notes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METRIC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Metric rules</t>
        </is>
      </c>
      <c r="R4" s="1" t="n"/>
    </row>
    <row r="5" ht="22" customHeight="1">
      <c r="A5" s="1" t="n"/>
      <c r="B5" s="33" t="inlineStr">
        <is>
          <t>Store effective-dated policy parameters; DAX remains the metric engine.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MetricKey</t>
        </is>
      </c>
      <c r="D13" s="38" t="inlineStr">
        <is>
          <t>RuleName</t>
        </is>
      </c>
      <c r="E13" s="38" t="inlineStr">
        <is>
          <t>Value</t>
        </is>
      </c>
      <c r="F13" s="38" t="inlineStr">
        <is>
          <t>Unit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Approved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SERVICE_LEVEL</t>
        </is>
      </c>
      <c r="D14" s="40" t="inlineStr">
        <is>
          <t>Threshold</t>
        </is>
      </c>
      <c r="E14" s="40" t="inlineStr"/>
      <c r="F14" s="40" t="inlineStr">
        <is>
          <t>seconds</t>
        </is>
      </c>
      <c r="G14" s="40" t="inlineStr"/>
      <c r="H14" s="40" t="inlineStr"/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SERVICE_LEVEL</t>
        </is>
      </c>
      <c r="D15" s="40" t="inlineStr">
        <is>
          <t>ExcludeShortAbandons</t>
        </is>
      </c>
      <c r="E15" s="40" t="inlineStr"/>
      <c r="F15" s="40" t="inlineStr">
        <is>
          <t>boolean</t>
        </is>
      </c>
      <c r="G15" s="40" t="inlineStr"/>
      <c r="H15" s="40" t="inlineStr"/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ABANDON_RATE</t>
        </is>
      </c>
      <c r="D16" s="40" t="inlineStr">
        <is>
          <t>ShortAbandonThreshold</t>
        </is>
      </c>
      <c r="E16" s="40" t="inlineStr"/>
      <c r="F16" s="40" t="inlineStr">
        <is>
          <t>seconds</t>
        </is>
      </c>
      <c r="G16" s="40" t="inlineStr"/>
      <c r="H16" s="40" t="inlineStr"/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ADHERENCE</t>
        </is>
      </c>
      <c r="D17" s="40" t="inlineStr">
        <is>
          <t>Tolerance</t>
        </is>
      </c>
      <c r="E17" s="40" t="inlineStr"/>
      <c r="F17" s="40" t="inlineStr">
        <is>
          <t>minutes</t>
        </is>
      </c>
      <c r="G17" s="40" t="inlineStr"/>
      <c r="H17" s="40" t="inlineStr"/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4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policies</t>
        </is>
      </c>
      <c r="R4" s="1" t="n"/>
    </row>
    <row r="5" ht="22" customHeight="1">
      <c r="A5" s="1" t="n"/>
      <c r="B5" s="33" t="inlineStr">
        <is>
          <t>Govern forecast method, grain, history, horizon, and seasonal behavior by operating scope.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ChannelKey</t>
        </is>
      </c>
      <c r="F13" s="38" t="inlineStr">
        <is>
          <t>IntradayProfileKey</t>
        </is>
      </c>
      <c r="G13" s="38" t="inlineStr">
        <is>
          <t>Method</t>
        </is>
      </c>
      <c r="H13" s="38" t="inlineStr">
        <is>
          <t>Frequency</t>
        </is>
      </c>
      <c r="I13" s="38" t="inlineStr">
        <is>
          <t>HistoryPeriods</t>
        </is>
      </c>
      <c r="J13" s="38" t="inlineStr">
        <is>
          <t>HorizonPeriods</t>
        </is>
      </c>
      <c r="K13" s="38" t="inlineStr">
        <is>
          <t>SeasonLength</t>
        </is>
      </c>
      <c r="L13" s="38" t="inlineStr">
        <is>
          <t>MinimumHistory</t>
        </is>
      </c>
      <c r="M13" s="38" t="inlineStr">
        <is>
          <t>ValidFrom</t>
        </is>
      </c>
      <c r="N13" s="38" t="inlineStr">
        <is>
          <t>ValidTo</t>
        </is>
      </c>
      <c r="O13" s="38" t="inlineStr">
        <is>
          <t>Approved</t>
        </is>
      </c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DAILY_SEASONAL_BASELINE</t>
        </is>
      </c>
      <c r="D14" s="40" t="inlineStr"/>
      <c r="E14" s="40" t="inlineStr"/>
      <c r="F14" s="40" t="inlineStr">
        <is>
          <t>STANDARD_30M</t>
        </is>
      </c>
      <c r="G14" s="40" t="inlineStr">
        <is>
          <t>SEASONAL_NAIVE</t>
        </is>
      </c>
      <c r="H14" s="40" t="inlineStr">
        <is>
          <t>DAILY</t>
        </is>
      </c>
      <c r="I14" s="40" t="n">
        <v>56</v>
      </c>
      <c r="J14" s="40" t="n">
        <v>28</v>
      </c>
      <c r="K14" s="40" t="n">
        <v>7</v>
      </c>
      <c r="L14" s="40" t="n">
        <v>28</v>
      </c>
      <c r="M14" s="40" t="inlineStr"/>
      <c r="N14" s="40" t="inlineStr"/>
      <c r="O14" s="40" t="b">
        <v>0</v>
      </c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4">
    <dataValidation sqref="O14:O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 governed planning method." type="list">
      <formula1>=FORECAST_METHOD_LIST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the implemented planning grain." type="list">
      <formula1>=FORECAST_FREQUENCY_LIST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8" customWidth="1" min="15" max="15"/>
    <col width="14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policies</t>
        </is>
      </c>
      <c r="R4" s="1" t="n"/>
    </row>
    <row r="5" ht="22" customHeight="1">
      <c r="A5" s="1" t="n"/>
      <c r="B5" s="33" t="inlineStr">
        <is>
          <t>Govern queueing or workload assumptions before requirements can be approved.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ChannelKey</t>
        </is>
      </c>
      <c r="F13" s="38" t="inlineStr">
        <is>
          <t>Method</t>
        </is>
      </c>
      <c r="G13" s="38" t="inlineStr">
        <is>
          <t>IntervalMinutes</t>
        </is>
      </c>
      <c r="H13" s="38" t="inlineStr">
        <is>
          <t>TargetServiceLevel</t>
        </is>
      </c>
      <c r="I13" s="38" t="inlineStr">
        <is>
          <t>AnswerTimeSeconds</t>
        </is>
      </c>
      <c r="J13" s="38" t="inlineStr">
        <is>
          <t>MaxOccupancy</t>
        </is>
      </c>
      <c r="K13" s="38" t="inlineStr">
        <is>
          <t>ShrinkagePct</t>
        </is>
      </c>
      <c r="L13" s="38" t="inlineStr">
        <is>
          <t>Concurrency</t>
        </is>
      </c>
      <c r="M13" s="38" t="inlineStr">
        <is>
          <t>FTEPerHead</t>
        </is>
      </c>
      <c r="N13" s="38" t="inlineStr">
        <is>
          <t>ValidFrom</t>
        </is>
      </c>
      <c r="O13" s="38" t="inlineStr">
        <is>
          <t>ValidTo</t>
        </is>
      </c>
      <c r="P13" s="38" t="inlineStr">
        <is>
          <t>Approved</t>
        </is>
      </c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SYNCHRONOUS_STANDARD</t>
        </is>
      </c>
      <c r="D14" s="40" t="inlineStr"/>
      <c r="E14" s="40" t="inlineStr">
        <is>
          <t>VOICE</t>
        </is>
      </c>
      <c r="F14" s="40" t="inlineStr">
        <is>
          <t>ERLANG_C</t>
        </is>
      </c>
      <c r="G14" s="40" t="n">
        <v>30</v>
      </c>
      <c r="H14" s="40" t="n">
        <v>0.8</v>
      </c>
      <c r="I14" s="40" t="n">
        <v>20</v>
      </c>
      <c r="J14" s="40" t="n">
        <v>0.85</v>
      </c>
      <c r="K14" s="40" t="n">
        <v>0.2</v>
      </c>
      <c r="L14" s="40" t="n">
        <v>1</v>
      </c>
      <c r="M14" s="40" t="n">
        <v>1</v>
      </c>
      <c r="N14" s="40" t="inlineStr"/>
      <c r="O14" s="40" t="inlineStr"/>
      <c r="P14" s="40" t="b">
        <v>0</v>
      </c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ASYNCHRONOUS_STANDARD</t>
        </is>
      </c>
      <c r="D15" s="40" t="inlineStr"/>
      <c r="E15" s="40" t="inlineStr">
        <is>
          <t>EMAIL</t>
        </is>
      </c>
      <c r="F15" s="40" t="inlineStr">
        <is>
          <t>WORKLOAD</t>
        </is>
      </c>
      <c r="G15" s="40" t="n">
        <v>30</v>
      </c>
      <c r="H15" s="40" t="inlineStr"/>
      <c r="I15" s="40" t="inlineStr"/>
      <c r="J15" s="40" t="n">
        <v>0.85</v>
      </c>
      <c r="K15" s="40" t="n">
        <v>0.2</v>
      </c>
      <c r="L15" s="40" t="n">
        <v>1</v>
      </c>
      <c r="M15" s="40" t="n">
        <v>1</v>
      </c>
      <c r="N15" s="40" t="inlineStr"/>
      <c r="O15" s="40" t="inlineStr"/>
      <c r="P15" s="40" t="b">
        <v>0</v>
      </c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P14:P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F14:F1000" showDropDown="0" showInputMessage="1" showErrorMessage="1" allowBlank="1" errorTitle="Invalid controlled value" error="Select a value from the governed list." promptTitle="WFM OS control" prompt="Choose a governed planning method." type="list">
      <formula1>=CAPACITY_METHOD_LIST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INTRADAY PROFILES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Intraday profiles</t>
        </is>
      </c>
      <c r="R4" s="1" t="n"/>
    </row>
    <row r="5" ht="22" customHeight="1">
      <c r="A5" s="1" t="n"/>
      <c r="B5" s="33" t="inlineStr">
        <is>
          <t>Distribute approved daily demand into reconciled 30-minute arrival and handle-time shapes.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ProfileKey</t>
        </is>
      </c>
      <c r="D13" s="38" t="inlineStr">
        <is>
          <t>DayType</t>
        </is>
      </c>
      <c r="E13" s="38" t="inlineStr">
        <is>
          <t>IntervalKey</t>
        </is>
      </c>
      <c r="F13" s="38" t="inlineStr">
        <is>
          <t>VolumeWeight</t>
        </is>
      </c>
      <c r="G13" s="38" t="inlineStr">
        <is>
          <t>AHTFactor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STANDARD_30M</t>
        </is>
      </c>
      <c r="D14" s="40" t="inlineStr">
        <is>
          <t>ALL</t>
        </is>
      </c>
      <c r="E14" s="40" t="inlineStr">
        <is>
          <t>I00</t>
        </is>
      </c>
      <c r="F14" s="40" t="n">
        <v>0.02083333333333333</v>
      </c>
      <c r="G14" s="40" t="n">
        <v>1</v>
      </c>
      <c r="H14" s="40" t="inlineStr"/>
      <c r="I14" s="40" t="inlineStr"/>
      <c r="J14" s="40" t="b">
        <v>0</v>
      </c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STANDARD_30M</t>
        </is>
      </c>
      <c r="D15" s="40" t="inlineStr">
        <is>
          <t>ALL</t>
        </is>
      </c>
      <c r="E15" s="40" t="inlineStr">
        <is>
          <t>I01</t>
        </is>
      </c>
      <c r="F15" s="40" t="n">
        <v>0.02083333333333333</v>
      </c>
      <c r="G15" s="40" t="n">
        <v>1</v>
      </c>
      <c r="H15" s="40" t="inlineStr"/>
      <c r="I15" s="40" t="inlineStr"/>
      <c r="J15" s="40" t="b">
        <v>0</v>
      </c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STANDARD_30M</t>
        </is>
      </c>
      <c r="D16" s="40" t="inlineStr">
        <is>
          <t>ALL</t>
        </is>
      </c>
      <c r="E16" s="40" t="inlineStr">
        <is>
          <t>I02</t>
        </is>
      </c>
      <c r="F16" s="40" t="n">
        <v>0.02083333333333333</v>
      </c>
      <c r="G16" s="40" t="n">
        <v>1</v>
      </c>
      <c r="H16" s="40" t="inlineStr"/>
      <c r="I16" s="40" t="inlineStr"/>
      <c r="J16" s="40" t="b">
        <v>0</v>
      </c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STANDARD_30M</t>
        </is>
      </c>
      <c r="D17" s="40" t="inlineStr">
        <is>
          <t>ALL</t>
        </is>
      </c>
      <c r="E17" s="40" t="inlineStr">
        <is>
          <t>I03</t>
        </is>
      </c>
      <c r="F17" s="40" t="n">
        <v>0.02083333333333333</v>
      </c>
      <c r="G17" s="40" t="n">
        <v>1</v>
      </c>
      <c r="H17" s="40" t="inlineStr"/>
      <c r="I17" s="40" t="inlineStr"/>
      <c r="J17" s="40" t="b">
        <v>0</v>
      </c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STANDARD_30M</t>
        </is>
      </c>
      <c r="D18" s="40" t="inlineStr">
        <is>
          <t>ALL</t>
        </is>
      </c>
      <c r="E18" s="40" t="inlineStr">
        <is>
          <t>I04</t>
        </is>
      </c>
      <c r="F18" s="40" t="n">
        <v>0.02083333333333333</v>
      </c>
      <c r="G18" s="40" t="n">
        <v>1</v>
      </c>
      <c r="H18" s="40" t="inlineStr"/>
      <c r="I18" s="40" t="inlineStr"/>
      <c r="J18" s="40" t="b">
        <v>0</v>
      </c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STANDARD_30M</t>
        </is>
      </c>
      <c r="D19" s="40" t="inlineStr">
        <is>
          <t>ALL</t>
        </is>
      </c>
      <c r="E19" s="40" t="inlineStr">
        <is>
          <t>I05</t>
        </is>
      </c>
      <c r="F19" s="40" t="n">
        <v>0.02083333333333333</v>
      </c>
      <c r="G19" s="40" t="n">
        <v>1</v>
      </c>
      <c r="H19" s="40" t="inlineStr"/>
      <c r="I19" s="40" t="inlineStr"/>
      <c r="J19" s="40" t="b">
        <v>0</v>
      </c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STANDARD_30M</t>
        </is>
      </c>
      <c r="D20" s="40" t="inlineStr">
        <is>
          <t>ALL</t>
        </is>
      </c>
      <c r="E20" s="40" t="inlineStr">
        <is>
          <t>I06</t>
        </is>
      </c>
      <c r="F20" s="40" t="n">
        <v>0.02083333333333333</v>
      </c>
      <c r="G20" s="40" t="n">
        <v>1</v>
      </c>
      <c r="H20" s="40" t="inlineStr"/>
      <c r="I20" s="40" t="inlineStr"/>
      <c r="J20" s="40" t="b">
        <v>0</v>
      </c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STANDARD_30M</t>
        </is>
      </c>
      <c r="D21" s="40" t="inlineStr">
        <is>
          <t>ALL</t>
        </is>
      </c>
      <c r="E21" s="40" t="inlineStr">
        <is>
          <t>I07</t>
        </is>
      </c>
      <c r="F21" s="40" t="n">
        <v>0.02083333333333333</v>
      </c>
      <c r="G21" s="40" t="n">
        <v>1</v>
      </c>
      <c r="H21" s="40" t="inlineStr"/>
      <c r="I21" s="40" t="inlineStr"/>
      <c r="J21" s="40" t="b">
        <v>0</v>
      </c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STANDARD_30M</t>
        </is>
      </c>
      <c r="D22" s="40" t="inlineStr">
        <is>
          <t>ALL</t>
        </is>
      </c>
      <c r="E22" s="40" t="inlineStr">
        <is>
          <t>I08</t>
        </is>
      </c>
      <c r="F22" s="40" t="n">
        <v>0.02083333333333333</v>
      </c>
      <c r="G22" s="40" t="n">
        <v>1</v>
      </c>
      <c r="H22" s="40" t="inlineStr"/>
      <c r="I22" s="40" t="inlineStr"/>
      <c r="J22" s="40" t="b">
        <v>0</v>
      </c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STANDARD_30M</t>
        </is>
      </c>
      <c r="D23" s="40" t="inlineStr">
        <is>
          <t>ALL</t>
        </is>
      </c>
      <c r="E23" s="40" t="inlineStr">
        <is>
          <t>I09</t>
        </is>
      </c>
      <c r="F23" s="40" t="n">
        <v>0.02083333333333333</v>
      </c>
      <c r="G23" s="40" t="n">
        <v>1</v>
      </c>
      <c r="H23" s="40" t="inlineStr"/>
      <c r="I23" s="40" t="inlineStr"/>
      <c r="J23" s="40" t="b">
        <v>0</v>
      </c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BLANK_DEPLOYMENT</t>
        </is>
      </c>
      <c r="C24" s="40" t="inlineStr">
        <is>
          <t>STANDARD_30M</t>
        </is>
      </c>
      <c r="D24" s="40" t="inlineStr">
        <is>
          <t>ALL</t>
        </is>
      </c>
      <c r="E24" s="40" t="inlineStr">
        <is>
          <t>I10</t>
        </is>
      </c>
      <c r="F24" s="40" t="n">
        <v>0.02083333333333333</v>
      </c>
      <c r="G24" s="40" t="n">
        <v>1</v>
      </c>
      <c r="H24" s="40" t="inlineStr"/>
      <c r="I24" s="40" t="inlineStr"/>
      <c r="J24" s="40" t="b">
        <v>0</v>
      </c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39" t="inlineStr">
        <is>
          <t>BLANK_DEPLOYMENT</t>
        </is>
      </c>
      <c r="C25" s="40" t="inlineStr">
        <is>
          <t>STANDARD_30M</t>
        </is>
      </c>
      <c r="D25" s="40" t="inlineStr">
        <is>
          <t>ALL</t>
        </is>
      </c>
      <c r="E25" s="40" t="inlineStr">
        <is>
          <t>I11</t>
        </is>
      </c>
      <c r="F25" s="40" t="n">
        <v>0.02083333333333333</v>
      </c>
      <c r="G25" s="40" t="n">
        <v>1</v>
      </c>
      <c r="H25" s="40" t="inlineStr"/>
      <c r="I25" s="40" t="inlineStr"/>
      <c r="J25" s="40" t="b">
        <v>0</v>
      </c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39" t="inlineStr">
        <is>
          <t>BLANK_DEPLOYMENT</t>
        </is>
      </c>
      <c r="C26" s="40" t="inlineStr">
        <is>
          <t>STANDARD_30M</t>
        </is>
      </c>
      <c r="D26" s="40" t="inlineStr">
        <is>
          <t>ALL</t>
        </is>
      </c>
      <c r="E26" s="40" t="inlineStr">
        <is>
          <t>I12</t>
        </is>
      </c>
      <c r="F26" s="40" t="n">
        <v>0.02083333333333333</v>
      </c>
      <c r="G26" s="40" t="n">
        <v>1</v>
      </c>
      <c r="H26" s="40" t="inlineStr"/>
      <c r="I26" s="40" t="inlineStr"/>
      <c r="J26" s="40" t="b">
        <v>0</v>
      </c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39" t="inlineStr">
        <is>
          <t>BLANK_DEPLOYMENT</t>
        </is>
      </c>
      <c r="C27" s="40" t="inlineStr">
        <is>
          <t>STANDARD_30M</t>
        </is>
      </c>
      <c r="D27" s="40" t="inlineStr">
        <is>
          <t>ALL</t>
        </is>
      </c>
      <c r="E27" s="40" t="inlineStr">
        <is>
          <t>I13</t>
        </is>
      </c>
      <c r="F27" s="40" t="n">
        <v>0.02083333333333333</v>
      </c>
      <c r="G27" s="40" t="n">
        <v>1</v>
      </c>
      <c r="H27" s="40" t="inlineStr"/>
      <c r="I27" s="40" t="inlineStr"/>
      <c r="J27" s="40" t="b">
        <v>0</v>
      </c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39" t="inlineStr">
        <is>
          <t>BLANK_DEPLOYMENT</t>
        </is>
      </c>
      <c r="C28" s="40" t="inlineStr">
        <is>
          <t>STANDARD_30M</t>
        </is>
      </c>
      <c r="D28" s="40" t="inlineStr">
        <is>
          <t>ALL</t>
        </is>
      </c>
      <c r="E28" s="40" t="inlineStr">
        <is>
          <t>I14</t>
        </is>
      </c>
      <c r="F28" s="40" t="n">
        <v>0.02083333333333333</v>
      </c>
      <c r="G28" s="40" t="n">
        <v>1</v>
      </c>
      <c r="H28" s="40" t="inlineStr"/>
      <c r="I28" s="40" t="inlineStr"/>
      <c r="J28" s="40" t="b">
        <v>0</v>
      </c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39" t="inlineStr">
        <is>
          <t>BLANK_DEPLOYMENT</t>
        </is>
      </c>
      <c r="C29" s="40" t="inlineStr">
        <is>
          <t>STANDARD_30M</t>
        </is>
      </c>
      <c r="D29" s="40" t="inlineStr">
        <is>
          <t>ALL</t>
        </is>
      </c>
      <c r="E29" s="40" t="inlineStr">
        <is>
          <t>I15</t>
        </is>
      </c>
      <c r="F29" s="40" t="n">
        <v>0.02083333333333333</v>
      </c>
      <c r="G29" s="40" t="n">
        <v>1</v>
      </c>
      <c r="H29" s="40" t="inlineStr"/>
      <c r="I29" s="40" t="inlineStr"/>
      <c r="J29" s="40" t="b">
        <v>0</v>
      </c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39" t="inlineStr">
        <is>
          <t>BLANK_DEPLOYMENT</t>
        </is>
      </c>
      <c r="C30" s="40" t="inlineStr">
        <is>
          <t>STANDARD_30M</t>
        </is>
      </c>
      <c r="D30" s="40" t="inlineStr">
        <is>
          <t>ALL</t>
        </is>
      </c>
      <c r="E30" s="40" t="inlineStr">
        <is>
          <t>I16</t>
        </is>
      </c>
      <c r="F30" s="40" t="n">
        <v>0.02083333333333333</v>
      </c>
      <c r="G30" s="40" t="n">
        <v>1</v>
      </c>
      <c r="H30" s="40" t="inlineStr"/>
      <c r="I30" s="40" t="inlineStr"/>
      <c r="J30" s="40" t="b">
        <v>0</v>
      </c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39" t="inlineStr">
        <is>
          <t>BLANK_DEPLOYMENT</t>
        </is>
      </c>
      <c r="C31" s="40" t="inlineStr">
        <is>
          <t>STANDARD_30M</t>
        </is>
      </c>
      <c r="D31" s="40" t="inlineStr">
        <is>
          <t>ALL</t>
        </is>
      </c>
      <c r="E31" s="40" t="inlineStr">
        <is>
          <t>I17</t>
        </is>
      </c>
      <c r="F31" s="40" t="n">
        <v>0.02083333333333333</v>
      </c>
      <c r="G31" s="40" t="n">
        <v>1</v>
      </c>
      <c r="H31" s="40" t="inlineStr"/>
      <c r="I31" s="40" t="inlineStr"/>
      <c r="J31" s="40" t="b">
        <v>0</v>
      </c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39" t="inlineStr">
        <is>
          <t>BLANK_DEPLOYMENT</t>
        </is>
      </c>
      <c r="C32" s="40" t="inlineStr">
        <is>
          <t>STANDARD_30M</t>
        </is>
      </c>
      <c r="D32" s="40" t="inlineStr">
        <is>
          <t>ALL</t>
        </is>
      </c>
      <c r="E32" s="40" t="inlineStr">
        <is>
          <t>I18</t>
        </is>
      </c>
      <c r="F32" s="40" t="n">
        <v>0.02083333333333333</v>
      </c>
      <c r="G32" s="40" t="n">
        <v>1</v>
      </c>
      <c r="H32" s="40" t="inlineStr"/>
      <c r="I32" s="40" t="inlineStr"/>
      <c r="J32" s="40" t="b">
        <v>0</v>
      </c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39" t="inlineStr">
        <is>
          <t>BLANK_DEPLOYMENT</t>
        </is>
      </c>
      <c r="C33" s="40" t="inlineStr">
        <is>
          <t>STANDARD_30M</t>
        </is>
      </c>
      <c r="D33" s="40" t="inlineStr">
        <is>
          <t>ALL</t>
        </is>
      </c>
      <c r="E33" s="40" t="inlineStr">
        <is>
          <t>I19</t>
        </is>
      </c>
      <c r="F33" s="40" t="n">
        <v>0.02083333333333333</v>
      </c>
      <c r="G33" s="40" t="n">
        <v>1</v>
      </c>
      <c r="H33" s="40" t="inlineStr"/>
      <c r="I33" s="40" t="inlineStr"/>
      <c r="J33" s="40" t="b">
        <v>0</v>
      </c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9" t="inlineStr">
        <is>
          <t>BLANK_DEPLOYMENT</t>
        </is>
      </c>
      <c r="C34" s="40" t="inlineStr">
        <is>
          <t>STANDARD_30M</t>
        </is>
      </c>
      <c r="D34" s="40" t="inlineStr">
        <is>
          <t>ALL</t>
        </is>
      </c>
      <c r="E34" s="40" t="inlineStr">
        <is>
          <t>I20</t>
        </is>
      </c>
      <c r="F34" s="40" t="n">
        <v>0.02083333333333333</v>
      </c>
      <c r="G34" s="40" t="n">
        <v>1</v>
      </c>
      <c r="H34" s="40" t="inlineStr"/>
      <c r="I34" s="40" t="inlineStr"/>
      <c r="J34" s="40" t="b">
        <v>0</v>
      </c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39" t="inlineStr">
        <is>
          <t>BLANK_DEPLOYMENT</t>
        </is>
      </c>
      <c r="C35" s="40" t="inlineStr">
        <is>
          <t>STANDARD_30M</t>
        </is>
      </c>
      <c r="D35" s="40" t="inlineStr">
        <is>
          <t>ALL</t>
        </is>
      </c>
      <c r="E35" s="40" t="inlineStr">
        <is>
          <t>I21</t>
        </is>
      </c>
      <c r="F35" s="40" t="n">
        <v>0.02083333333333333</v>
      </c>
      <c r="G35" s="40" t="n">
        <v>1</v>
      </c>
      <c r="H35" s="40" t="inlineStr"/>
      <c r="I35" s="40" t="inlineStr"/>
      <c r="J35" s="40" t="b">
        <v>0</v>
      </c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39" t="inlineStr">
        <is>
          <t>BLANK_DEPLOYMENT</t>
        </is>
      </c>
      <c r="C36" s="40" t="inlineStr">
        <is>
          <t>STANDARD_30M</t>
        </is>
      </c>
      <c r="D36" s="40" t="inlineStr">
        <is>
          <t>ALL</t>
        </is>
      </c>
      <c r="E36" s="40" t="inlineStr">
        <is>
          <t>I22</t>
        </is>
      </c>
      <c r="F36" s="40" t="n">
        <v>0.02083333333333333</v>
      </c>
      <c r="G36" s="40" t="n">
        <v>1</v>
      </c>
      <c r="H36" s="40" t="inlineStr"/>
      <c r="I36" s="40" t="inlineStr"/>
      <c r="J36" s="40" t="b">
        <v>0</v>
      </c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39" t="inlineStr">
        <is>
          <t>BLANK_DEPLOYMENT</t>
        </is>
      </c>
      <c r="C37" s="40" t="inlineStr">
        <is>
          <t>STANDARD_30M</t>
        </is>
      </c>
      <c r="D37" s="40" t="inlineStr">
        <is>
          <t>ALL</t>
        </is>
      </c>
      <c r="E37" s="40" t="inlineStr">
        <is>
          <t>I23</t>
        </is>
      </c>
      <c r="F37" s="40" t="n">
        <v>0.02083333333333333</v>
      </c>
      <c r="G37" s="40" t="n">
        <v>1</v>
      </c>
      <c r="H37" s="40" t="inlineStr"/>
      <c r="I37" s="40" t="inlineStr"/>
      <c r="J37" s="40" t="b">
        <v>0</v>
      </c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39" t="inlineStr">
        <is>
          <t>BLANK_DEPLOYMENT</t>
        </is>
      </c>
      <c r="C38" s="40" t="inlineStr">
        <is>
          <t>STANDARD_30M</t>
        </is>
      </c>
      <c r="D38" s="40" t="inlineStr">
        <is>
          <t>ALL</t>
        </is>
      </c>
      <c r="E38" s="40" t="inlineStr">
        <is>
          <t>I24</t>
        </is>
      </c>
      <c r="F38" s="40" t="n">
        <v>0.02083333333333333</v>
      </c>
      <c r="G38" s="40" t="n">
        <v>1</v>
      </c>
      <c r="H38" s="40" t="inlineStr"/>
      <c r="I38" s="40" t="inlineStr"/>
      <c r="J38" s="40" t="b">
        <v>0</v>
      </c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39" t="inlineStr">
        <is>
          <t>BLANK_DEPLOYMENT</t>
        </is>
      </c>
      <c r="C39" s="40" t="inlineStr">
        <is>
          <t>STANDARD_30M</t>
        </is>
      </c>
      <c r="D39" s="40" t="inlineStr">
        <is>
          <t>ALL</t>
        </is>
      </c>
      <c r="E39" s="40" t="inlineStr">
        <is>
          <t>I25</t>
        </is>
      </c>
      <c r="F39" s="40" t="n">
        <v>0.02083333333333333</v>
      </c>
      <c r="G39" s="40" t="n">
        <v>1</v>
      </c>
      <c r="H39" s="40" t="inlineStr"/>
      <c r="I39" s="40" t="inlineStr"/>
      <c r="J39" s="40" t="b">
        <v>0</v>
      </c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39" t="inlineStr">
        <is>
          <t>BLANK_DEPLOYMENT</t>
        </is>
      </c>
      <c r="C40" s="40" t="inlineStr">
        <is>
          <t>STANDARD_30M</t>
        </is>
      </c>
      <c r="D40" s="40" t="inlineStr">
        <is>
          <t>ALL</t>
        </is>
      </c>
      <c r="E40" s="40" t="inlineStr">
        <is>
          <t>I26</t>
        </is>
      </c>
      <c r="F40" s="40" t="n">
        <v>0.02083333333333333</v>
      </c>
      <c r="G40" s="40" t="n">
        <v>1</v>
      </c>
      <c r="H40" s="40" t="inlineStr"/>
      <c r="I40" s="40" t="inlineStr"/>
      <c r="J40" s="40" t="b">
        <v>0</v>
      </c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39" t="inlineStr">
        <is>
          <t>BLANK_DEPLOYMENT</t>
        </is>
      </c>
      <c r="C41" s="40" t="inlineStr">
        <is>
          <t>STANDARD_30M</t>
        </is>
      </c>
      <c r="D41" s="40" t="inlineStr">
        <is>
          <t>ALL</t>
        </is>
      </c>
      <c r="E41" s="40" t="inlineStr">
        <is>
          <t>I27</t>
        </is>
      </c>
      <c r="F41" s="40" t="n">
        <v>0.02083333333333333</v>
      </c>
      <c r="G41" s="40" t="n">
        <v>1</v>
      </c>
      <c r="H41" s="40" t="inlineStr"/>
      <c r="I41" s="40" t="inlineStr"/>
      <c r="J41" s="40" t="b">
        <v>0</v>
      </c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39" t="inlineStr">
        <is>
          <t>BLANK_DEPLOYMENT</t>
        </is>
      </c>
      <c r="C42" s="40" t="inlineStr">
        <is>
          <t>STANDARD_30M</t>
        </is>
      </c>
      <c r="D42" s="40" t="inlineStr">
        <is>
          <t>ALL</t>
        </is>
      </c>
      <c r="E42" s="40" t="inlineStr">
        <is>
          <t>I28</t>
        </is>
      </c>
      <c r="F42" s="40" t="n">
        <v>0.02083333333333333</v>
      </c>
      <c r="G42" s="40" t="n">
        <v>1</v>
      </c>
      <c r="H42" s="40" t="inlineStr"/>
      <c r="I42" s="40" t="inlineStr"/>
      <c r="J42" s="40" t="b">
        <v>0</v>
      </c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39" t="inlineStr">
        <is>
          <t>BLANK_DEPLOYMENT</t>
        </is>
      </c>
      <c r="C43" s="40" t="inlineStr">
        <is>
          <t>STANDARD_30M</t>
        </is>
      </c>
      <c r="D43" s="40" t="inlineStr">
        <is>
          <t>ALL</t>
        </is>
      </c>
      <c r="E43" s="40" t="inlineStr">
        <is>
          <t>I29</t>
        </is>
      </c>
      <c r="F43" s="40" t="n">
        <v>0.02083333333333333</v>
      </c>
      <c r="G43" s="40" t="n">
        <v>1</v>
      </c>
      <c r="H43" s="40" t="inlineStr"/>
      <c r="I43" s="40" t="inlineStr"/>
      <c r="J43" s="40" t="b">
        <v>0</v>
      </c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39" t="inlineStr">
        <is>
          <t>BLANK_DEPLOYMENT</t>
        </is>
      </c>
      <c r="C44" s="40" t="inlineStr">
        <is>
          <t>STANDARD_30M</t>
        </is>
      </c>
      <c r="D44" s="40" t="inlineStr">
        <is>
          <t>ALL</t>
        </is>
      </c>
      <c r="E44" s="40" t="inlineStr">
        <is>
          <t>I30</t>
        </is>
      </c>
      <c r="F44" s="40" t="n">
        <v>0.02083333333333333</v>
      </c>
      <c r="G44" s="40" t="n">
        <v>1</v>
      </c>
      <c r="H44" s="40" t="inlineStr"/>
      <c r="I44" s="40" t="inlineStr"/>
      <c r="J44" s="40" t="b">
        <v>0</v>
      </c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39" t="inlineStr">
        <is>
          <t>BLANK_DEPLOYMENT</t>
        </is>
      </c>
      <c r="C45" s="40" t="inlineStr">
        <is>
          <t>STANDARD_30M</t>
        </is>
      </c>
      <c r="D45" s="40" t="inlineStr">
        <is>
          <t>ALL</t>
        </is>
      </c>
      <c r="E45" s="40" t="inlineStr">
        <is>
          <t>I31</t>
        </is>
      </c>
      <c r="F45" s="40" t="n">
        <v>0.02083333333333333</v>
      </c>
      <c r="G45" s="40" t="n">
        <v>1</v>
      </c>
      <c r="H45" s="40" t="inlineStr"/>
      <c r="I45" s="40" t="inlineStr"/>
      <c r="J45" s="40" t="b">
        <v>0</v>
      </c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39" t="inlineStr">
        <is>
          <t>BLANK_DEPLOYMENT</t>
        </is>
      </c>
      <c r="C46" s="40" t="inlineStr">
        <is>
          <t>STANDARD_30M</t>
        </is>
      </c>
      <c r="D46" s="40" t="inlineStr">
        <is>
          <t>ALL</t>
        </is>
      </c>
      <c r="E46" s="40" t="inlineStr">
        <is>
          <t>I32</t>
        </is>
      </c>
      <c r="F46" s="40" t="n">
        <v>0.02083333333333333</v>
      </c>
      <c r="G46" s="40" t="n">
        <v>1</v>
      </c>
      <c r="H46" s="40" t="inlineStr"/>
      <c r="I46" s="40" t="inlineStr"/>
      <c r="J46" s="40" t="b">
        <v>0</v>
      </c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39" t="inlineStr">
        <is>
          <t>BLANK_DEPLOYMENT</t>
        </is>
      </c>
      <c r="C47" s="40" t="inlineStr">
        <is>
          <t>STANDARD_30M</t>
        </is>
      </c>
      <c r="D47" s="40" t="inlineStr">
        <is>
          <t>ALL</t>
        </is>
      </c>
      <c r="E47" s="40" t="inlineStr">
        <is>
          <t>I33</t>
        </is>
      </c>
      <c r="F47" s="40" t="n">
        <v>0.02083333333333333</v>
      </c>
      <c r="G47" s="40" t="n">
        <v>1</v>
      </c>
      <c r="H47" s="40" t="inlineStr"/>
      <c r="I47" s="40" t="inlineStr"/>
      <c r="J47" s="40" t="b">
        <v>0</v>
      </c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39" t="inlineStr">
        <is>
          <t>BLANK_DEPLOYMENT</t>
        </is>
      </c>
      <c r="C48" s="40" t="inlineStr">
        <is>
          <t>STANDARD_30M</t>
        </is>
      </c>
      <c r="D48" s="40" t="inlineStr">
        <is>
          <t>ALL</t>
        </is>
      </c>
      <c r="E48" s="40" t="inlineStr">
        <is>
          <t>I34</t>
        </is>
      </c>
      <c r="F48" s="40" t="n">
        <v>0.02083333333333333</v>
      </c>
      <c r="G48" s="40" t="n">
        <v>1</v>
      </c>
      <c r="H48" s="40" t="inlineStr"/>
      <c r="I48" s="40" t="inlineStr"/>
      <c r="J48" s="40" t="b">
        <v>0</v>
      </c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39" t="inlineStr">
        <is>
          <t>BLANK_DEPLOYMENT</t>
        </is>
      </c>
      <c r="C49" s="40" t="inlineStr">
        <is>
          <t>STANDARD_30M</t>
        </is>
      </c>
      <c r="D49" s="40" t="inlineStr">
        <is>
          <t>ALL</t>
        </is>
      </c>
      <c r="E49" s="40" t="inlineStr">
        <is>
          <t>I35</t>
        </is>
      </c>
      <c r="F49" s="40" t="n">
        <v>0.02083333333333333</v>
      </c>
      <c r="G49" s="40" t="n">
        <v>1</v>
      </c>
      <c r="H49" s="40" t="inlineStr"/>
      <c r="I49" s="40" t="inlineStr"/>
      <c r="J49" s="40" t="b">
        <v>0</v>
      </c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39" t="inlineStr">
        <is>
          <t>BLANK_DEPLOYMENT</t>
        </is>
      </c>
      <c r="C50" s="40" t="inlineStr">
        <is>
          <t>STANDARD_30M</t>
        </is>
      </c>
      <c r="D50" s="40" t="inlineStr">
        <is>
          <t>ALL</t>
        </is>
      </c>
      <c r="E50" s="40" t="inlineStr">
        <is>
          <t>I36</t>
        </is>
      </c>
      <c r="F50" s="40" t="n">
        <v>0.02083333333333333</v>
      </c>
      <c r="G50" s="40" t="n">
        <v>1</v>
      </c>
      <c r="H50" s="40" t="inlineStr"/>
      <c r="I50" s="40" t="inlineStr"/>
      <c r="J50" s="40" t="b">
        <v>0</v>
      </c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39" t="inlineStr">
        <is>
          <t>BLANK_DEPLOYMENT</t>
        </is>
      </c>
      <c r="C51" s="40" t="inlineStr">
        <is>
          <t>STANDARD_30M</t>
        </is>
      </c>
      <c r="D51" s="40" t="inlineStr">
        <is>
          <t>ALL</t>
        </is>
      </c>
      <c r="E51" s="40" t="inlineStr">
        <is>
          <t>I37</t>
        </is>
      </c>
      <c r="F51" s="40" t="n">
        <v>0.02083333333333333</v>
      </c>
      <c r="G51" s="40" t="n">
        <v>1</v>
      </c>
      <c r="H51" s="40" t="inlineStr"/>
      <c r="I51" s="40" t="inlineStr"/>
      <c r="J51" s="40" t="b">
        <v>0</v>
      </c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39" t="inlineStr">
        <is>
          <t>BLANK_DEPLOYMENT</t>
        </is>
      </c>
      <c r="C52" s="40" t="inlineStr">
        <is>
          <t>STANDARD_30M</t>
        </is>
      </c>
      <c r="D52" s="40" t="inlineStr">
        <is>
          <t>ALL</t>
        </is>
      </c>
      <c r="E52" s="40" t="inlineStr">
        <is>
          <t>I38</t>
        </is>
      </c>
      <c r="F52" s="40" t="n">
        <v>0.02083333333333333</v>
      </c>
      <c r="G52" s="40" t="n">
        <v>1</v>
      </c>
      <c r="H52" s="40" t="inlineStr"/>
      <c r="I52" s="40" t="inlineStr"/>
      <c r="J52" s="40" t="b">
        <v>0</v>
      </c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39" t="inlineStr">
        <is>
          <t>BLANK_DEPLOYMENT</t>
        </is>
      </c>
      <c r="C53" s="40" t="inlineStr">
        <is>
          <t>STANDARD_30M</t>
        </is>
      </c>
      <c r="D53" s="40" t="inlineStr">
        <is>
          <t>ALL</t>
        </is>
      </c>
      <c r="E53" s="40" t="inlineStr">
        <is>
          <t>I39</t>
        </is>
      </c>
      <c r="F53" s="40" t="n">
        <v>0.02083333333333333</v>
      </c>
      <c r="G53" s="40" t="n">
        <v>1</v>
      </c>
      <c r="H53" s="40" t="inlineStr"/>
      <c r="I53" s="40" t="inlineStr"/>
      <c r="J53" s="40" t="b">
        <v>0</v>
      </c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39" t="inlineStr">
        <is>
          <t>BLANK_DEPLOYMENT</t>
        </is>
      </c>
      <c r="C54" s="40" t="inlineStr">
        <is>
          <t>STANDARD_30M</t>
        </is>
      </c>
      <c r="D54" s="40" t="inlineStr">
        <is>
          <t>ALL</t>
        </is>
      </c>
      <c r="E54" s="40" t="inlineStr">
        <is>
          <t>I40</t>
        </is>
      </c>
      <c r="F54" s="40" t="n">
        <v>0.02083333333333333</v>
      </c>
      <c r="G54" s="40" t="n">
        <v>1</v>
      </c>
      <c r="H54" s="40" t="inlineStr"/>
      <c r="I54" s="40" t="inlineStr"/>
      <c r="J54" s="40" t="b">
        <v>0</v>
      </c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39" t="inlineStr">
        <is>
          <t>BLANK_DEPLOYMENT</t>
        </is>
      </c>
      <c r="C55" s="40" t="inlineStr">
        <is>
          <t>STANDARD_30M</t>
        </is>
      </c>
      <c r="D55" s="40" t="inlineStr">
        <is>
          <t>ALL</t>
        </is>
      </c>
      <c r="E55" s="40" t="inlineStr">
        <is>
          <t>I41</t>
        </is>
      </c>
      <c r="F55" s="40" t="n">
        <v>0.02083333333333333</v>
      </c>
      <c r="G55" s="40" t="n">
        <v>1</v>
      </c>
      <c r="H55" s="40" t="inlineStr"/>
      <c r="I55" s="40" t="inlineStr"/>
      <c r="J55" s="40" t="b">
        <v>0</v>
      </c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39" t="inlineStr">
        <is>
          <t>BLANK_DEPLOYMENT</t>
        </is>
      </c>
      <c r="C56" s="40" t="inlineStr">
        <is>
          <t>STANDARD_30M</t>
        </is>
      </c>
      <c r="D56" s="40" t="inlineStr">
        <is>
          <t>ALL</t>
        </is>
      </c>
      <c r="E56" s="40" t="inlineStr">
        <is>
          <t>I42</t>
        </is>
      </c>
      <c r="F56" s="40" t="n">
        <v>0.02083333333333333</v>
      </c>
      <c r="G56" s="40" t="n">
        <v>1</v>
      </c>
      <c r="H56" s="40" t="inlineStr"/>
      <c r="I56" s="40" t="inlineStr"/>
      <c r="J56" s="40" t="b">
        <v>0</v>
      </c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39" t="inlineStr">
        <is>
          <t>BLANK_DEPLOYMENT</t>
        </is>
      </c>
      <c r="C57" s="40" t="inlineStr">
        <is>
          <t>STANDARD_30M</t>
        </is>
      </c>
      <c r="D57" s="40" t="inlineStr">
        <is>
          <t>ALL</t>
        </is>
      </c>
      <c r="E57" s="40" t="inlineStr">
        <is>
          <t>I43</t>
        </is>
      </c>
      <c r="F57" s="40" t="n">
        <v>0.02083333333333333</v>
      </c>
      <c r="G57" s="40" t="n">
        <v>1</v>
      </c>
      <c r="H57" s="40" t="inlineStr"/>
      <c r="I57" s="40" t="inlineStr"/>
      <c r="J57" s="40" t="b">
        <v>0</v>
      </c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39" t="inlineStr">
        <is>
          <t>BLANK_DEPLOYMENT</t>
        </is>
      </c>
      <c r="C58" s="40" t="inlineStr">
        <is>
          <t>STANDARD_30M</t>
        </is>
      </c>
      <c r="D58" s="40" t="inlineStr">
        <is>
          <t>ALL</t>
        </is>
      </c>
      <c r="E58" s="40" t="inlineStr">
        <is>
          <t>I44</t>
        </is>
      </c>
      <c r="F58" s="40" t="n">
        <v>0.02083333333333333</v>
      </c>
      <c r="G58" s="40" t="n">
        <v>1</v>
      </c>
      <c r="H58" s="40" t="inlineStr"/>
      <c r="I58" s="40" t="inlineStr"/>
      <c r="J58" s="40" t="b">
        <v>0</v>
      </c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39" t="inlineStr">
        <is>
          <t>BLANK_DEPLOYMENT</t>
        </is>
      </c>
      <c r="C59" s="40" t="inlineStr">
        <is>
          <t>STANDARD_30M</t>
        </is>
      </c>
      <c r="D59" s="40" t="inlineStr">
        <is>
          <t>ALL</t>
        </is>
      </c>
      <c r="E59" s="40" t="inlineStr">
        <is>
          <t>I45</t>
        </is>
      </c>
      <c r="F59" s="40" t="n">
        <v>0.02083333333333333</v>
      </c>
      <c r="G59" s="40" t="n">
        <v>1</v>
      </c>
      <c r="H59" s="40" t="inlineStr"/>
      <c r="I59" s="40" t="inlineStr"/>
      <c r="J59" s="40" t="b">
        <v>0</v>
      </c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39" t="inlineStr">
        <is>
          <t>BLANK_DEPLOYMENT</t>
        </is>
      </c>
      <c r="C60" s="40" t="inlineStr">
        <is>
          <t>STANDARD_30M</t>
        </is>
      </c>
      <c r="D60" s="40" t="inlineStr">
        <is>
          <t>ALL</t>
        </is>
      </c>
      <c r="E60" s="40" t="inlineStr">
        <is>
          <t>I46</t>
        </is>
      </c>
      <c r="F60" s="40" t="n">
        <v>0.02083333333333333</v>
      </c>
      <c r="G60" s="40" t="n">
        <v>1</v>
      </c>
      <c r="H60" s="40" t="inlineStr"/>
      <c r="I60" s="40" t="inlineStr"/>
      <c r="J60" s="40" t="b">
        <v>0</v>
      </c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39" t="inlineStr">
        <is>
          <t>BLANK_DEPLOYMENT</t>
        </is>
      </c>
      <c r="C61" s="40" t="inlineStr">
        <is>
          <t>STANDARD_30M</t>
        </is>
      </c>
      <c r="D61" s="40" t="inlineStr">
        <is>
          <t>ALL</t>
        </is>
      </c>
      <c r="E61" s="40" t="inlineStr">
        <is>
          <t>I47</t>
        </is>
      </c>
      <c r="F61" s="40" t="n">
        <v>0.02083333333333333</v>
      </c>
      <c r="G61" s="40" t="n">
        <v>1</v>
      </c>
      <c r="H61" s="40" t="inlineStr"/>
      <c r="I61" s="40" t="inlineStr"/>
      <c r="J61" s="40" t="b">
        <v>0</v>
      </c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D14:D1000" showDropDown="0" showInputMessage="1" showErrorMessage="1" allowBlank="1" errorTitle="Invalid controlled value" error="Select a value from the governed list." promptTitle="WFM OS control" prompt="Choose ALL or an exact weekday profile." type="list">
      <formula1>=DAY_TYPE_LIST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policies</t>
        </is>
      </c>
      <c r="R4" s="1" t="n"/>
    </row>
    <row r="5" ht="22" customHeight="1">
      <c r="A5" s="1" t="n"/>
      <c r="B5" s="33" t="inlineStr">
        <is>
          <t>Govern recruitment, training, nesting, yield, seat, and paid-FTE planning assumptions.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RecruitmentLeadDays</t>
        </is>
      </c>
      <c r="F13" s="38" t="inlineStr">
        <is>
          <t>TrainingLeadDays</t>
        </is>
      </c>
      <c r="G13" s="38" t="inlineStr">
        <is>
          <t>NestingLeadDays</t>
        </is>
      </c>
      <c r="H13" s="38" t="inlineStr">
        <is>
          <t>ExpectedYield</t>
        </is>
      </c>
      <c r="I13" s="38" t="inlineStr">
        <is>
          <t>FTEPerHead</t>
        </is>
      </c>
      <c r="J13" s="38" t="inlineStr">
        <is>
          <t>MaxTrainingSeats</t>
        </is>
      </c>
      <c r="K13" s="38" t="inlineStr">
        <is>
          <t>BufferPaidFTE</t>
        </is>
      </c>
      <c r="L13" s="38" t="inlineStr">
        <is>
          <t>ValidFrom</t>
        </is>
      </c>
      <c r="M13" s="38" t="inlineStr">
        <is>
          <t>ValidTo</t>
        </is>
      </c>
      <c r="N13" s="38" t="inlineStr">
        <is>
          <t>Approved</t>
        </is>
      </c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STANDARD_HIRING</t>
        </is>
      </c>
      <c r="D14" s="40" t="inlineStr"/>
      <c r="E14" s="40" t="n">
        <v>28</v>
      </c>
      <c r="F14" s="40" t="n">
        <v>14</v>
      </c>
      <c r="G14" s="40" t="n">
        <v>7</v>
      </c>
      <c r="H14" s="40" t="n">
        <v>0.8</v>
      </c>
      <c r="I14" s="40" t="n">
        <v>1</v>
      </c>
      <c r="J14" s="40" t="n">
        <v>20</v>
      </c>
      <c r="K14" s="40" t="n">
        <v>0</v>
      </c>
      <c r="L14" s="40" t="inlineStr"/>
      <c r="M14" s="40" t="inlineStr"/>
      <c r="N14" s="40" t="b">
        <v>0</v>
      </c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N14:N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7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2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8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OVERRIDES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overrides</t>
        </is>
      </c>
      <c r="R4" s="1" t="n"/>
    </row>
    <row r="5" ht="22" customHeight="1">
      <c r="A5" s="1" t="n"/>
      <c r="B5" s="33" t="inlineStr">
        <is>
          <t>Capture governed changes before approval into a forecast version.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OverrideKey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ActivityKey</t>
        </is>
      </c>
      <c r="F13" s="38" t="inlineStr">
        <is>
          <t>ChannelKey</t>
        </is>
      </c>
      <c r="G13" s="38" t="inlineStr">
        <is>
          <t>ForecastDate</t>
        </is>
      </c>
      <c r="H13" s="38" t="inlineStr">
        <is>
          <t>ForecastVolume</t>
        </is>
      </c>
      <c r="I13" s="38" t="inlineStr">
        <is>
          <t>ForecastAHTSeconds</t>
        </is>
      </c>
      <c r="J13" s="38" t="inlineStr">
        <is>
          <t>Reason</t>
        </is>
      </c>
      <c r="K13" s="38" t="inlineStr">
        <is>
          <t>RequestedBy</t>
        </is>
      </c>
      <c r="L13" s="38" t="inlineStr">
        <is>
          <t>RequestedAt</t>
        </is>
      </c>
      <c r="M13" s="38" t="inlineStr">
        <is>
          <t>ApprovalStatus</t>
        </is>
      </c>
      <c r="N13" s="38" t="inlineStr">
        <is>
          <t>ApprovedBy</t>
        </is>
      </c>
      <c r="O13" s="38" t="inlineStr">
        <is>
          <t>ApprovedAt</t>
        </is>
      </c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M14:M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F14:F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8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24" customWidth="1" min="4" max="4"/>
    <col width="14" customWidth="1" min="5" max="5"/>
    <col width="18" customWidth="1" min="6" max="6"/>
    <col width="24" customWidth="1" min="7" max="7"/>
    <col width="2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 DECISIONS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 decisions</t>
        </is>
      </c>
      <c r="R4" s="1" t="n"/>
    </row>
    <row r="5" ht="22" customHeight="1">
      <c r="A5" s="1" t="n"/>
      <c r="B5" s="33" t="inlineStr">
        <is>
          <t>Store keyed decisions separately from refreshable attendance cases.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CaseKey</t>
        </is>
      </c>
      <c r="C13" s="38" t="inlineStr">
        <is>
          <t>Decision</t>
        </is>
      </c>
      <c r="D13" s="38" t="inlineStr">
        <is>
          <t>DecisionReason</t>
        </is>
      </c>
      <c r="E13" s="38" t="inlineStr">
        <is>
          <t>Owner</t>
        </is>
      </c>
      <c r="F13" s="38" t="inlineStr">
        <is>
          <t>DecisionAt</t>
        </is>
      </c>
      <c r="G13" s="38" t="inlineStr">
        <is>
          <t>EvidenceReference</t>
        </is>
      </c>
      <c r="H13" s="38" t="inlineStr">
        <is>
          <t>Notes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C14:C1000" showDropDown="0" showInputMessage="1" showErrorMessage="1" allowBlank="1" errorTitle="Invalid controlled value" error="Select a value from the governed list." promptTitle="WFM OS control" prompt="Select the attendance decision." type="list">
      <formula1>=ATTENDANCE_DECISION_LIST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9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24" customWidth="1" min="10" max="10"/>
    <col width="18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ACTION INPUT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Action input</t>
        </is>
      </c>
      <c r="R4" s="1" t="n"/>
    </row>
    <row r="5" ht="22" customHeight="1">
      <c r="A5" s="1" t="n"/>
      <c r="B5" s="33" t="inlineStr">
        <is>
          <t>Maintain the controlled operational action register.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ActionKey</t>
        </is>
      </c>
      <c r="C13" s="38" t="inlineStr">
        <is>
          <t>OpenedAt</t>
        </is>
      </c>
      <c r="D13" s="38" t="inlineStr">
        <is>
          <t>Module</t>
        </is>
      </c>
      <c r="E13" s="38" t="inlineStr">
        <is>
          <t>Severity</t>
        </is>
      </c>
      <c r="F13" s="38" t="inlineStr">
        <is>
          <t>Action</t>
        </is>
      </c>
      <c r="G13" s="38" t="inlineStr">
        <is>
          <t>Owner</t>
        </is>
      </c>
      <c r="H13" s="38" t="inlineStr">
        <is>
          <t>DueAt</t>
        </is>
      </c>
      <c r="I13" s="38" t="inlineStr">
        <is>
          <t>Status</t>
        </is>
      </c>
      <c r="J13" s="38" t="inlineStr">
        <is>
          <t>Outcome</t>
        </is>
      </c>
      <c r="K13" s="38" t="inlineStr">
        <is>
          <t>ClosedAt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E14:E1000" showDropDown="0" showInputMessage="1" showErrorMessage="1" allowBlank="1" errorTitle="Invalid controlled value" error="Select a value from the governed list." promptTitle="WFM OS control" prompt="Select operational severity." type="list">
      <formula1>=SEVERITY_LIST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the current lifecycle state." type="list">
      <formula1>=ACTION_STATUS_LIST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0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SCENARIO INPUTS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Scenario inputs</t>
        </is>
      </c>
      <c r="R4" s="1" t="n"/>
    </row>
    <row r="5" ht="22" customHeight="1">
      <c r="A5" s="1" t="n"/>
      <c r="B5" s="33" t="inlineStr">
        <is>
          <t>Define versioned assumptions for planning and simulation.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ScenarioRowKey</t>
        </is>
      </c>
      <c r="C13" s="38" t="inlineStr">
        <is>
          <t>Profile</t>
        </is>
      </c>
      <c r="D13" s="38" t="inlineStr">
        <is>
          <t>ScenarioKey</t>
        </is>
      </c>
      <c r="E13" s="38" t="inlineStr">
        <is>
          <t>ScenarioName</t>
        </is>
      </c>
      <c r="F13" s="38" t="inlineStr">
        <is>
          <t>ActivityKey</t>
        </is>
      </c>
      <c r="G13" s="38" t="inlineStr">
        <is>
          <t>ChannelKey</t>
        </is>
      </c>
      <c r="H13" s="38" t="inlineStr">
        <is>
          <t>StartDate</t>
        </is>
      </c>
      <c r="I13" s="38" t="inlineStr">
        <is>
          <t>EndDate</t>
        </is>
      </c>
      <c r="J13" s="38" t="inlineStr">
        <is>
          <t>VolumeChangePct</t>
        </is>
      </c>
      <c r="K13" s="38" t="inlineStr">
        <is>
          <t>AHTChangePct</t>
        </is>
      </c>
      <c r="L13" s="38" t="inlineStr">
        <is>
          <t>ShrinkageChangePct</t>
        </is>
      </c>
      <c r="M13" s="38" t="inlineStr">
        <is>
          <t>ApprovalStatus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M14:M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G14:G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1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8" customWidth="1" min="4" max="4"/>
    <col width="14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8" customWidth="1" min="11" max="11"/>
    <col width="14" customWidth="1" min="12" max="12"/>
    <col width="2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CLOSE DAY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Close day</t>
        </is>
      </c>
      <c r="R4" s="1" t="n"/>
    </row>
    <row r="5" ht="22" customHeight="1">
      <c r="A5" s="1" t="n"/>
      <c r="B5" s="33" t="inlineStr">
        <is>
          <t>Approve one business date for a complete, reconciled, append-only operational snapshot.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CloseKey</t>
        </is>
      </c>
      <c r="C13" s="38" t="inlineStr">
        <is>
          <t>Profile</t>
        </is>
      </c>
      <c r="D13" s="38" t="inlineStr">
        <is>
          <t>BusinessDate</t>
        </is>
      </c>
      <c r="E13" s="38" t="inlineStr">
        <is>
          <t>RequestedBy</t>
        </is>
      </c>
      <c r="F13" s="38" t="inlineStr">
        <is>
          <t>RequestedAt</t>
        </is>
      </c>
      <c r="G13" s="38" t="inlineStr">
        <is>
          <t>ApprovalStatus</t>
        </is>
      </c>
      <c r="H13" s="38" t="inlineStr">
        <is>
          <t>ApprovedBy</t>
        </is>
      </c>
      <c r="I13" s="38" t="inlineStr">
        <is>
          <t>ApprovedAt</t>
        </is>
      </c>
      <c r="J13" s="38" t="inlineStr">
        <is>
          <t>SnapshotStatus</t>
        </is>
      </c>
      <c r="K13" s="38" t="inlineStr">
        <is>
          <t>SnapshotAt</t>
        </is>
      </c>
      <c r="L13" s="38" t="inlineStr">
        <is>
          <t>SourceRunKey</t>
        </is>
      </c>
      <c r="M13" s="38" t="inlineStr">
        <is>
          <t>Notes</t>
        </is>
      </c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2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approval</t>
        </is>
      </c>
      <c r="R4" s="1" t="n"/>
    </row>
    <row r="5" ht="22" customHeight="1">
      <c r="A5" s="1" t="n"/>
      <c r="B5" s="33" t="inlineStr">
        <is>
          <t>Publish stable forecast versions only after analytical review and reconciliation.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ForecastRowKey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ApprovalStatus</t>
        </is>
      </c>
      <c r="F13" s="38" t="inlineStr">
        <is>
          <t>Scenario</t>
        </is>
      </c>
      <c r="G13" s="38" t="inlineStr">
        <is>
          <t>Method</t>
        </is>
      </c>
      <c r="H13" s="38" t="inlineStr">
        <is>
          <t>ActivityKey</t>
        </is>
      </c>
      <c r="I13" s="38" t="inlineStr">
        <is>
          <t>ChannelKey</t>
        </is>
      </c>
      <c r="J13" s="38" t="inlineStr">
        <is>
          <t>IntervalStart</t>
        </is>
      </c>
      <c r="K13" s="38" t="inlineStr">
        <is>
          <t>ForecastVolume</t>
        </is>
      </c>
      <c r="L13" s="38" t="inlineStr">
        <is>
          <t>ForecastAHTSeconds</t>
        </is>
      </c>
      <c r="M13" s="38" t="inlineStr">
        <is>
          <t>CreatedAt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E14:E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 governed planning method." type="list">
      <formula1>=FORECAST_METHOD_LIST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REQUIREMENT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Requirement approval</t>
        </is>
      </c>
      <c r="R4" s="1" t="n"/>
    </row>
    <row r="5" ht="22" customHeight="1">
      <c r="A5" s="1" t="n"/>
      <c r="B5" s="33" t="inlineStr">
        <is>
          <t>Publish capacity candidates into the operational staffing-requirement contract.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RequirementKey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CapacityPolicyKey</t>
        </is>
      </c>
      <c r="F13" s="38" t="inlineStr">
        <is>
          <t>ScenarioKey</t>
        </is>
      </c>
      <c r="G13" s="38" t="inlineStr">
        <is>
          <t>ApprovalStatus</t>
        </is>
      </c>
      <c r="H13" s="38" t="inlineStr">
        <is>
          <t>IntervalStart</t>
        </is>
      </c>
      <c r="I13" s="38" t="inlineStr">
        <is>
          <t>ActivityKey</t>
        </is>
      </c>
      <c r="J13" s="38" t="inlineStr">
        <is>
          <t>ChannelKey</t>
        </is>
      </c>
      <c r="K13" s="38" t="inlineStr">
        <is>
          <t>RequiredFTE</t>
        </is>
      </c>
      <c r="L13" s="38" t="inlineStr">
        <is>
          <t>PaidFTE</t>
        </is>
      </c>
      <c r="M13" s="38" t="inlineStr">
        <is>
          <t>RequirementVersion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J14:J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24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SUPPLY ASSUMPTIONS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Supply assumptions</t>
        </is>
      </c>
      <c r="R4" s="1" t="n"/>
    </row>
    <row r="5" ht="22" customHeight="1">
      <c r="A5" s="1" t="n"/>
      <c r="B5" s="33" t="inlineStr">
        <is>
          <t>Record approved weekly workforce movements without changing analytical source code.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SupplyRowKey</t>
        </is>
      </c>
      <c r="C13" s="38" t="inlineStr">
        <is>
          <t>Profile</t>
        </is>
      </c>
      <c r="D13" s="38" t="inlineStr">
        <is>
          <t>ActivityKey</t>
        </is>
      </c>
      <c r="E13" s="38" t="inlineStr">
        <is>
          <t>PeriodStart</t>
        </is>
      </c>
      <c r="F13" s="38" t="inlineStr">
        <is>
          <t>OpeningPaidFTE</t>
        </is>
      </c>
      <c r="G13" s="38" t="inlineStr">
        <is>
          <t>TransfersInFTE</t>
        </is>
      </c>
      <c r="H13" s="38" t="inlineStr">
        <is>
          <t>TransfersOutFTE</t>
        </is>
      </c>
      <c r="I13" s="38" t="inlineStr">
        <is>
          <t>LeaversFTE</t>
        </is>
      </c>
      <c r="J13" s="38" t="inlineStr">
        <is>
          <t>OtherChangeFTE</t>
        </is>
      </c>
      <c r="K13" s="38" t="inlineStr">
        <is>
          <t>ApprovalStatus</t>
        </is>
      </c>
      <c r="L13" s="38" t="inlineStr">
        <is>
          <t>ApprovedAt</t>
        </is>
      </c>
      <c r="M13" s="38" t="inlineStr">
        <is>
          <t>ApprovedBy</t>
        </is>
      </c>
      <c r="N13" s="38" t="inlineStr">
        <is>
          <t>SourceRunKey</t>
        </is>
      </c>
      <c r="O13" s="38" t="inlineStr">
        <is>
          <t>Notes</t>
        </is>
      </c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SUPPLY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Supply approval</t>
        </is>
      </c>
      <c r="R4" s="1" t="n"/>
    </row>
    <row r="5" ht="22" customHeight="1">
      <c r="A5" s="1" t="n"/>
      <c r="B5" s="33" t="inlineStr">
        <is>
          <t>Publish one traceable supply-and-gap version after hiring-wave reconciliation.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PlanRowKey</t>
        </is>
      </c>
      <c r="C13" s="38" t="inlineStr">
        <is>
          <t>Profile</t>
        </is>
      </c>
      <c r="D13" s="38" t="inlineStr">
        <is>
          <t>PlanVersionKey</t>
        </is>
      </c>
      <c r="E13" s="38" t="inlineStr">
        <is>
          <t>ScenarioKey</t>
        </is>
      </c>
      <c r="F13" s="38" t="inlineStr">
        <is>
          <t>PolicyKey</t>
        </is>
      </c>
      <c r="G13" s="38" t="inlineStr">
        <is>
          <t>ApprovalStatus</t>
        </is>
      </c>
      <c r="H13" s="38" t="inlineStr">
        <is>
          <t>PeriodStart</t>
        </is>
      </c>
      <c r="I13" s="38" t="inlineStr">
        <is>
          <t>ActivityKey</t>
        </is>
      </c>
      <c r="J13" s="38" t="inlineStr">
        <is>
          <t>RequiredPaidFTE</t>
        </is>
      </c>
      <c r="K13" s="38" t="inlineStr">
        <is>
          <t>BufferPaidFTE</t>
        </is>
      </c>
      <c r="L13" s="38" t="inlineStr">
        <is>
          <t>BaselinePaidFTE</t>
        </is>
      </c>
      <c r="M13" s="38" t="inlineStr">
        <is>
          <t>PlannedHirePaidFTE</t>
        </is>
      </c>
      <c r="N13" s="38" t="inlineStr">
        <is>
          <t>ProjectedPaidFTE</t>
        </is>
      </c>
      <c r="O13" s="38" t="inlineStr">
        <is>
          <t>ResidualGapPaidFTE</t>
        </is>
      </c>
      <c r="P13" s="38" t="inlineStr">
        <is>
          <t>ApprovedAt</t>
        </is>
      </c>
      <c r="Q13" s="38" t="inlineStr">
        <is>
          <t>ApprovedBy</t>
        </is>
      </c>
      <c r="R13" s="38" t="inlineStr">
        <is>
          <t>SourceRunKey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approval</t>
        </is>
      </c>
      <c r="R4" s="1" t="n"/>
    </row>
    <row r="5" ht="22" customHeight="1">
      <c r="A5" s="1" t="n"/>
      <c r="B5" s="33" t="inlineStr">
        <is>
          <t>Approve bounded recruitment and training waves linked to one supply-plan version.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WaveKey</t>
        </is>
      </c>
      <c r="C13" s="38" t="inlineStr">
        <is>
          <t>Profile</t>
        </is>
      </c>
      <c r="D13" s="38" t="inlineStr">
        <is>
          <t>PlanVersionKey</t>
        </is>
      </c>
      <c r="E13" s="38" t="inlineStr">
        <is>
          <t>ScenarioKey</t>
        </is>
      </c>
      <c r="F13" s="38" t="inlineStr">
        <is>
          <t>PolicyKey</t>
        </is>
      </c>
      <c r="G13" s="38" t="inlineStr">
        <is>
          <t>ApprovalStatus</t>
        </is>
      </c>
      <c r="H13" s="38" t="inlineStr">
        <is>
          <t>ActivityKey</t>
        </is>
      </c>
      <c r="I13" s="38" t="inlineStr">
        <is>
          <t>RecruitmentStart</t>
        </is>
      </c>
      <c r="J13" s="38" t="inlineStr">
        <is>
          <t>TrainingStart</t>
        </is>
      </c>
      <c r="K13" s="38" t="inlineStr">
        <is>
          <t>NestingStart</t>
        </is>
      </c>
      <c r="L13" s="38" t="inlineStr">
        <is>
          <t>ProficiencyDate</t>
        </is>
      </c>
      <c r="M13" s="38" t="inlineStr">
        <is>
          <t>PlannedHeads</t>
        </is>
      </c>
      <c r="N13" s="38" t="inlineStr">
        <is>
          <t>ExpectedPaidFTE</t>
        </is>
      </c>
      <c r="O13" s="38" t="inlineStr">
        <is>
          <t>TimingStatus</t>
        </is>
      </c>
      <c r="P13" s="38" t="inlineStr">
        <is>
          <t>ApprovedAt</t>
        </is>
      </c>
      <c r="Q13" s="38" t="inlineStr">
        <is>
          <t>ApprovedBy</t>
        </is>
      </c>
      <c r="R13" s="38" t="inlineStr">
        <is>
          <t>SourceRunKey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O14:O1000" showDropDown="0" showInputMessage="1" showErrorMessage="1" allowBlank="1" errorTitle="Invalid controlled value" error="Select a value from the governed list." promptTitle="WFM OS control" prompt="Keep the analytical timing result unchanged." type="list">
      <formula1>=HIRING_TIMING_LIST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7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16" customWidth="1" min="1" max="1"/>
    <col width="18" customWidth="1" min="2" max="2"/>
    <col width="21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.5" customWidth="1" min="18" max="18"/>
  </cols>
  <sheetData>
    <row r="1" ht="8" customHeight="1">
      <c r="A1" s="60" t="inlineStr">
        <is>
          <t>BOOLEAN_LIST</t>
        </is>
      </c>
      <c r="B1" s="60" t="inlineStr">
        <is>
          <t>PROFILE_LIST</t>
        </is>
      </c>
      <c r="C1" s="60" t="inlineStr">
        <is>
          <t>TIMEZONE_LIST</t>
        </is>
      </c>
      <c r="D1" s="60" t="inlineStr">
        <is>
          <t>REFRESH_MODE_LIST</t>
        </is>
      </c>
      <c r="E1" s="60" t="inlineStr">
        <is>
          <t>DQ_STATUS_LIST</t>
        </is>
      </c>
      <c r="F1" s="60" t="inlineStr">
        <is>
          <t>APPROVAL_LIST</t>
        </is>
      </c>
      <c r="G1" s="60" t="inlineStr">
        <is>
          <t>ATTENDANCE_DECISION_LIST</t>
        </is>
      </c>
      <c r="H1" s="60" t="inlineStr">
        <is>
          <t>SEVERITY_LIST</t>
        </is>
      </c>
      <c r="I1" s="60" t="inlineStr">
        <is>
          <t>ACTION_STATUS_LIST</t>
        </is>
      </c>
      <c r="J1" s="60" t="inlineStr">
        <is>
          <t>CHANNEL_LIST</t>
        </is>
      </c>
      <c r="K1" s="60" t="inlineStr">
        <is>
          <t>FORMAT_LIST</t>
        </is>
      </c>
      <c r="L1" s="60" t="inlineStr">
        <is>
          <t>FORECAST_METHOD_LIST</t>
        </is>
      </c>
      <c r="M1" s="60" t="inlineStr">
        <is>
          <t>CAPACITY_METHOD_LIST</t>
        </is>
      </c>
      <c r="N1" s="60" t="inlineStr">
        <is>
          <t>FORECAST_FREQUENCY_LIST</t>
        </is>
      </c>
      <c r="O1" s="60" t="inlineStr">
        <is>
          <t>PLANNING_IMPACT_LIST</t>
        </is>
      </c>
      <c r="P1" s="60" t="inlineStr">
        <is>
          <t>DAY_TYPE_LIST</t>
        </is>
      </c>
      <c r="Q1" s="60" t="inlineStr">
        <is>
          <t>HIRING_TIMING_LIST</t>
        </is>
      </c>
      <c r="R1" s="1" t="n"/>
    </row>
    <row r="2">
      <c r="A2" s="61" t="inlineStr">
        <is>
          <t>TRUE</t>
        </is>
      </c>
      <c r="B2" s="61" t="inlineStr">
        <is>
          <t>BLANK_DEPLOYMENT</t>
        </is>
      </c>
      <c r="C2" s="61" t="inlineStr">
        <is>
          <t>UTC</t>
        </is>
      </c>
      <c r="D2" s="61" t="inlineStr">
        <is>
          <t>VALIDATION</t>
        </is>
      </c>
      <c r="E2" s="61" t="inlineStr">
        <is>
          <t>NOT RUN</t>
        </is>
      </c>
      <c r="F2" s="61" t="inlineStr">
        <is>
          <t>DRAFT</t>
        </is>
      </c>
      <c r="G2" s="61" t="inlineStr">
        <is>
          <t>PENDING</t>
        </is>
      </c>
      <c r="H2" s="61" t="inlineStr">
        <is>
          <t>INFORMATION</t>
        </is>
      </c>
      <c r="I2" s="61" t="inlineStr">
        <is>
          <t>DRAFT</t>
        </is>
      </c>
      <c r="J2" s="61" t="inlineStr">
        <is>
          <t>VOICE</t>
        </is>
      </c>
      <c r="K2" s="61" t="inlineStr">
        <is>
          <t>Auto</t>
        </is>
      </c>
      <c r="L2" s="61" t="inlineStr">
        <is>
          <t>SEASONAL_NAIVE</t>
        </is>
      </c>
      <c r="M2" s="61" t="inlineStr">
        <is>
          <t>ERLANG_C</t>
        </is>
      </c>
      <c r="N2" s="61" t="inlineStr">
        <is>
          <t>DAILY</t>
        </is>
      </c>
      <c r="O2" s="61" t="inlineStr">
        <is>
          <t>VOLUME_PCT</t>
        </is>
      </c>
      <c r="P2" s="61" t="inlineStr">
        <is>
          <t>ALL</t>
        </is>
      </c>
      <c r="Q2" s="61" t="inlineStr">
        <is>
          <t>ON_TIME</t>
        </is>
      </c>
      <c r="R2" s="1" t="n"/>
    </row>
    <row r="3">
      <c r="A3" s="61" t="inlineStr">
        <is>
          <t>FALSE</t>
        </is>
      </c>
      <c r="B3" s="1" t="n"/>
      <c r="C3" s="61" t="inlineStr">
        <is>
          <t>Europe/Berlin</t>
        </is>
      </c>
      <c r="D3" s="61" t="inlineStr">
        <is>
          <t>OPERATIONAL</t>
        </is>
      </c>
      <c r="E3" s="61" t="inlineStr">
        <is>
          <t>PASSED</t>
        </is>
      </c>
      <c r="F3" s="61" t="inlineStr">
        <is>
          <t>PENDING</t>
        </is>
      </c>
      <c r="G3" s="61" t="inlineStr">
        <is>
          <t>VALID</t>
        </is>
      </c>
      <c r="H3" s="61" t="inlineStr">
        <is>
          <t>WARNING</t>
        </is>
      </c>
      <c r="I3" s="61" t="inlineStr">
        <is>
          <t>OPEN</t>
        </is>
      </c>
      <c r="J3" s="61" t="inlineStr">
        <is>
          <t>CHAT</t>
        </is>
      </c>
      <c r="K3" s="61" t="inlineStr">
        <is>
          <t>csv</t>
        </is>
      </c>
      <c r="L3" s="1" t="n"/>
      <c r="M3" s="61" t="inlineStr">
        <is>
          <t>WORKLOAD</t>
        </is>
      </c>
      <c r="N3" s="1" t="n"/>
      <c r="O3" s="61" t="inlineStr">
        <is>
          <t>AHT_PCT</t>
        </is>
      </c>
      <c r="P3" s="61" t="inlineStr">
        <is>
          <t>MONDAY</t>
        </is>
      </c>
      <c r="Q3" s="61" t="inlineStr">
        <is>
          <t>LATE_TO_PLAN</t>
        </is>
      </c>
      <c r="R3" s="1" t="n"/>
    </row>
    <row r="4">
      <c r="A4" s="1" t="n"/>
      <c r="B4" s="1" t="n"/>
      <c r="C4" s="61" t="inlineStr">
        <is>
          <t>Europe/London</t>
        </is>
      </c>
      <c r="D4" s="1" t="n"/>
      <c r="E4" s="61" t="inlineStr">
        <is>
          <t>WARNING</t>
        </is>
      </c>
      <c r="F4" s="61" t="inlineStr">
        <is>
          <t>APPROVED</t>
        </is>
      </c>
      <c r="G4" s="61" t="inlineStr">
        <is>
          <t>EXCUSED</t>
        </is>
      </c>
      <c r="H4" s="61" t="inlineStr">
        <is>
          <t>BLOCKING</t>
        </is>
      </c>
      <c r="I4" s="61" t="inlineStr">
        <is>
          <t>IN PROGRESS</t>
        </is>
      </c>
      <c r="J4" s="61" t="inlineStr">
        <is>
          <t>EMAIL</t>
        </is>
      </c>
      <c r="K4" s="61" t="inlineStr">
        <is>
          <t>xlsx</t>
        </is>
      </c>
      <c r="L4" s="1" t="n"/>
      <c r="M4" s="1" t="n"/>
      <c r="N4" s="1" t="n"/>
      <c r="O4" s="61" t="inlineStr">
        <is>
          <t>SHRINKAGE_PCT</t>
        </is>
      </c>
      <c r="P4" s="61" t="inlineStr">
        <is>
          <t>TUESDAY</t>
        </is>
      </c>
      <c r="Q4" s="1" t="n"/>
      <c r="R4" s="1" t="n"/>
    </row>
    <row r="5">
      <c r="A5" s="1" t="n"/>
      <c r="B5" s="1" t="n"/>
      <c r="C5" s="61" t="inlineStr">
        <is>
          <t>America/New_York</t>
        </is>
      </c>
      <c r="D5" s="1" t="n"/>
      <c r="E5" s="61" t="inlineStr">
        <is>
          <t>BLOCKING</t>
        </is>
      </c>
      <c r="F5" s="61" t="inlineStr">
        <is>
          <t>REJECTED</t>
        </is>
      </c>
      <c r="G5" s="61" t="inlineStr">
        <is>
          <t>UNEXCUSED</t>
        </is>
      </c>
      <c r="H5" s="1" t="n"/>
      <c r="I5" s="61" t="inlineStr">
        <is>
          <t>BLOCKED</t>
        </is>
      </c>
      <c r="J5" s="61" t="inlineStr">
        <is>
          <t>CASE</t>
        </is>
      </c>
      <c r="K5" s="61" t="inlineStr">
        <is>
          <t>xlsb</t>
        </is>
      </c>
      <c r="L5" s="1" t="n"/>
      <c r="M5" s="1" t="n"/>
      <c r="N5" s="1" t="n"/>
      <c r="O5" s="1" t="n"/>
      <c r="P5" s="61" t="inlineStr">
        <is>
          <t>WEDNESDAY</t>
        </is>
      </c>
      <c r="Q5" s="1" t="n"/>
      <c r="R5" s="1" t="n"/>
    </row>
    <row r="6">
      <c r="A6" s="1" t="n"/>
      <c r="B6" s="1" t="n"/>
      <c r="C6" s="61" t="inlineStr">
        <is>
          <t>America/Chicago</t>
        </is>
      </c>
      <c r="D6" s="1" t="n"/>
      <c r="E6" s="1" t="n"/>
      <c r="F6" s="61" t="inlineStr">
        <is>
          <t>SUPERSEDED</t>
        </is>
      </c>
      <c r="G6" s="61" t="inlineStr">
        <is>
          <t>CANCELLED</t>
        </is>
      </c>
      <c r="H6" s="1" t="n"/>
      <c r="I6" s="61" t="inlineStr">
        <is>
          <t>COMPLETED</t>
        </is>
      </c>
      <c r="J6" s="61" t="inlineStr">
        <is>
          <t>BACK_OFFICE</t>
        </is>
      </c>
      <c r="K6" s="61" t="inlineStr">
        <is>
          <t>json</t>
        </is>
      </c>
      <c r="L6" s="1" t="n"/>
      <c r="M6" s="1" t="n"/>
      <c r="N6" s="1" t="n"/>
      <c r="O6" s="1" t="n"/>
      <c r="P6" s="61" t="inlineStr">
        <is>
          <t>THURSDAY</t>
        </is>
      </c>
      <c r="Q6" s="1" t="n"/>
      <c r="R6" s="1" t="n"/>
    </row>
    <row r="7">
      <c r="A7" s="1" t="n"/>
      <c r="B7" s="1" t="n"/>
      <c r="C7" s="61" t="inlineStr">
        <is>
          <t>America/Los_Angeles</t>
        </is>
      </c>
      <c r="D7" s="1" t="n"/>
      <c r="E7" s="1" t="n"/>
      <c r="F7" s="1" t="n"/>
      <c r="G7" s="1" t="n"/>
      <c r="H7" s="1" t="n"/>
      <c r="I7" s="61" t="inlineStr">
        <is>
          <t>CANCELLED</t>
        </is>
      </c>
      <c r="J7" s="61" t="inlineStr">
        <is>
          <t>DISPATCH</t>
        </is>
      </c>
      <c r="K7" s="61" t="inlineStr">
        <is>
          <t>parquet</t>
        </is>
      </c>
      <c r="L7" s="1" t="n"/>
      <c r="M7" s="1" t="n"/>
      <c r="N7" s="1" t="n"/>
      <c r="O7" s="1" t="n"/>
      <c r="P7" s="61" t="inlineStr">
        <is>
          <t>FRIDAY</t>
        </is>
      </c>
      <c r="Q7" s="1" t="n"/>
      <c r="R7" s="1" t="n"/>
    </row>
    <row r="8">
      <c r="A8" s="1" t="n"/>
      <c r="B8" s="1" t="n"/>
      <c r="C8" s="61" t="inlineStr">
        <is>
          <t>Asia/Dubai</t>
        </is>
      </c>
      <c r="D8" s="1" t="n"/>
      <c r="E8" s="1" t="n"/>
      <c r="F8" s="1" t="n"/>
      <c r="G8" s="1" t="n"/>
      <c r="H8" s="1" t="n"/>
      <c r="I8" s="1" t="n"/>
      <c r="J8" s="61" t="inlineStr">
        <is>
          <t>OTHER</t>
        </is>
      </c>
      <c r="K8" s="61" t="inlineStr">
        <is>
          <t>txt</t>
        </is>
      </c>
      <c r="L8" s="1" t="n"/>
      <c r="M8" s="1" t="n"/>
      <c r="N8" s="1" t="n"/>
      <c r="O8" s="1" t="n"/>
      <c r="P8" s="61" t="inlineStr">
        <is>
          <t>SATURDAY</t>
        </is>
      </c>
      <c r="Q8" s="1" t="n"/>
      <c r="R8" s="1" t="n"/>
    </row>
    <row r="9">
      <c r="A9" s="1" t="n"/>
      <c r="B9" s="1" t="n"/>
      <c r="C9" s="61" t="inlineStr">
        <is>
          <t>Asia/Kolkata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61" t="inlineStr">
        <is>
          <t>SUNDAY</t>
        </is>
      </c>
      <c r="Q9" s="1" t="n"/>
      <c r="R9" s="1" t="n"/>
    </row>
    <row r="10">
      <c r="A10" s="1" t="n"/>
      <c r="B10" s="1" t="n"/>
      <c r="C10" s="61" t="inlineStr">
        <is>
          <t>Asia/Singapore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1" t="n"/>
      <c r="C11" s="61" t="inlineStr">
        <is>
          <t>Australia/Sydney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INITIALIZATION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shared imports, deterministic settings, and analytical execution order.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Install genuine Python in Excel cells only in the desktop Excel release workflow.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FORECAST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forecast backtesting and statistical candidate models fed by governed Excel or query outputs.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INTERVAL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exact daily-to-interval reconciliation and governed scenario shaping.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CAPACITY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interval capacity candidates sourced from approved forecasts.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SUPPLY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weekly paid-supply and residual-gap candidates.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HIRING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recruitment, training, and proficiency-wave candidates.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CONTROLLED OPERATIONAL SNAPSHOTS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30" t="inlineStr">
        <is>
          <t>Append-only store reserved for approved close-day snapshots. Do not type, paste, sort, or delete rows manually.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38" t="inlineStr">
        <is>
          <t>ClosedAt</t>
        </is>
      </c>
      <c r="O10" s="38" t="inlineStr">
        <is>
          <t>ClosedBy</t>
        </is>
      </c>
      <c r="P10" s="38" t="inlineStr">
        <is>
          <t>SourceRunKey</t>
        </is>
      </c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BOUNDED QUERY OUTPUTS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58" t="inlineStr">
        <is>
          <t>Reserved load surface for reconciled Power Query outputs. The current shell contains headers only; Power Query is not embedded.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1" t="n"/>
      <c r="O10" s="1" t="n"/>
      <c r="P10" s="1" t="n"/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PIVOT SUPPORT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technical PivotTables that drive controlled business layouts and slicers.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POWER PIVOT AND PIVOTTABLES ARE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MODEL REGISTRY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the installed query, table, relationship, measure, and refresh-lane inventory.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THE SEMANTIC MODEL IS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TECHNICAL TEST HARNESS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 ht="28" customHeight="1">
      <c r="A6" s="1" t="n"/>
      <c r="B6" s="38" t="inlineStr">
        <is>
          <t>TestKey</t>
        </is>
      </c>
      <c r="C6" s="38" t="inlineStr">
        <is>
          <t>Test</t>
        </is>
      </c>
      <c r="D6" s="38" t="inlineStr">
        <is>
          <t>Domain</t>
        </is>
      </c>
      <c r="E6" s="38" t="inlineStr">
        <is>
          <t>Expected</t>
        </is>
      </c>
      <c r="F6" s="38" t="inlineStr">
        <is>
          <t>Status</t>
        </is>
      </c>
      <c r="G6" s="38" t="inlineStr">
        <is>
          <t>Evidence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9" t="inlineStr">
        <is>
          <t>T-001</t>
        </is>
      </c>
      <c r="C7" s="49" t="inlineStr">
        <is>
          <t>Workbook opens</t>
        </is>
      </c>
      <c r="D7" s="49" t="inlineStr">
        <is>
          <t>Structure</t>
        </is>
      </c>
      <c r="E7" s="49" t="inlineStr">
        <is>
          <t>Workbook package opens without repair</t>
        </is>
      </c>
      <c r="F7" s="49" t="inlineStr">
        <is>
          <t>PASS</t>
        </is>
      </c>
      <c r="G7" s="49" t="inlineStr">
        <is>
          <t>Generator validation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49" t="inlineStr">
        <is>
          <t>T-002</t>
        </is>
      </c>
      <c r="C8" s="49" t="inlineStr">
        <is>
          <t>Production data absent</t>
        </is>
      </c>
      <c r="D8" s="49" t="inlineStr">
        <is>
          <t>Security</t>
        </is>
      </c>
      <c r="E8" s="49" t="inlineStr">
        <is>
          <t>No production or inferred employee data</t>
        </is>
      </c>
      <c r="F8" s="49" t="inlineStr">
        <is>
          <t>PASS</t>
        </is>
      </c>
      <c r="G8" s="49" t="inlineStr">
        <is>
          <t>Data-free shell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49" t="inlineStr">
        <is>
          <t>T-003</t>
        </is>
      </c>
      <c r="C9" s="49" t="inlineStr">
        <is>
          <t>Power Query executable</t>
        </is>
      </c>
      <c r="D9" s="49" t="inlineStr">
        <is>
          <t>Engine</t>
        </is>
      </c>
      <c r="E9" s="49" t="inlineStr">
        <is>
          <t>Required queries execute</t>
        </is>
      </c>
      <c r="F9" s="49" t="inlineStr">
        <is>
          <t>NOT IMPLEMENTED</t>
        </is>
      </c>
      <c r="G9" s="49" t="inlineStr">
        <is>
          <t>Desktop Excel release step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n"/>
      <c r="B10" s="49" t="inlineStr">
        <is>
          <t>T-004</t>
        </is>
      </c>
      <c r="C10" s="49" t="inlineStr">
        <is>
          <t>Power Pivot model executable</t>
        </is>
      </c>
      <c r="D10" s="49" t="inlineStr">
        <is>
          <t>Engine</t>
        </is>
      </c>
      <c r="E10" s="49" t="inlineStr">
        <is>
          <t>Tables, relationships, and measures execute</t>
        </is>
      </c>
      <c r="F10" s="49" t="inlineStr">
        <is>
          <t>NOT IMPLEMENTED</t>
        </is>
      </c>
      <c r="G10" s="49" t="inlineStr">
        <is>
          <t>Desktop Excel release step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9" t="inlineStr">
        <is>
          <t>T-005</t>
        </is>
      </c>
      <c r="C11" s="49" t="inlineStr">
        <is>
          <t>Python in Excel executable</t>
        </is>
      </c>
      <c r="D11" s="49" t="inlineStr">
        <is>
          <t>Engine</t>
        </is>
      </c>
      <c r="E11" s="49" t="inlineStr">
        <is>
          <t>Analytical cells execute in declared order</t>
        </is>
      </c>
      <c r="F11" s="49" t="inlineStr">
        <is>
          <t>NOT IMPLEMENTED</t>
        </is>
      </c>
      <c r="G11" s="49" t="inlineStr">
        <is>
          <t>Desktop Excel release step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49" t="inlineStr">
        <is>
          <t>T-006</t>
        </is>
      </c>
      <c r="C12" s="49" t="inlineStr">
        <is>
          <t>VBA controller executable</t>
        </is>
      </c>
      <c r="D12" s="49" t="inlineStr">
        <is>
          <t>Engine</t>
        </is>
      </c>
      <c r="E12" s="49" t="inlineStr">
        <is>
          <t>Signed refresh and publication controls execute</t>
        </is>
      </c>
      <c r="F12" s="49" t="inlineStr">
        <is>
          <t>NOT IMPLEMENTED</t>
        </is>
      </c>
      <c r="G12" s="49" t="inlineStr">
        <is>
          <t>Macro-enabled release step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49" t="inlineStr">
        <is>
          <t>T-007</t>
        </is>
      </c>
      <c r="C13" s="49" t="inlineStr">
        <is>
          <t>Planning Python deterministic</t>
        </is>
      </c>
      <c r="D13" s="49" t="inlineStr">
        <is>
          <t>Planning</t>
        </is>
      </c>
      <c r="E13" s="49" t="inlineStr">
        <is>
          <t>Forecast, adjustment, accuracy, and capacity fixtures match</t>
        </is>
      </c>
      <c r="F13" s="49" t="inlineStr">
        <is>
          <t>PASS</t>
        </is>
      </c>
      <c r="G13" s="49" t="inlineStr">
        <is>
          <t>91_Tests/test_planning_cycle.py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9" t="inlineStr">
        <is>
          <t>T-008</t>
        </is>
      </c>
      <c r="C14" s="49" t="inlineStr">
        <is>
          <t>Planning supply deterministic</t>
        </is>
      </c>
      <c r="D14" s="49" t="inlineStr">
        <is>
          <t>Planning</t>
        </is>
      </c>
      <c r="E14" s="49" t="inlineStr">
        <is>
          <t>Intraday reconciliation, scenarios, supply, and hiring waves match</t>
        </is>
      </c>
      <c r="F14" s="49" t="inlineStr">
        <is>
          <t>PASS</t>
        </is>
      </c>
      <c r="G14" s="49" t="inlineStr">
        <is>
          <t>91_Tests/test_planning_supply.py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">
    <mergeCell ref="B2:E3"/>
    <mergeCell ref="F2:Q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24" customWidth="1" min="2" max="2"/>
    <col width="28" customWidth="1" min="3" max="3"/>
    <col width="5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BUILD INFORMATION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Build information</t>
        </is>
      </c>
      <c r="R4" s="1" t="n"/>
    </row>
    <row r="5" ht="22" customHeight="1">
      <c r="A5" s="1" t="n"/>
      <c r="B5" s="33" t="inlineStr">
        <is>
          <t>Confirm exactly what this artifact contains before using it for an operational decision.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0" t="inlineStr">
        <is>
          <t>RELEASE GATE · The application is a premium executable shell only. Engine integration is deliberately not represented as complete.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Field</t>
        </is>
      </c>
      <c r="C13" s="38" t="inlineStr">
        <is>
          <t>Value</t>
        </is>
      </c>
      <c r="D13" s="38" t="inlineStr">
        <is>
          <t>Evidence / note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9" t="inlineStr">
        <is>
          <t>Product</t>
        </is>
      </c>
      <c r="C14" s="49" t="inlineStr">
        <is>
          <t>WFM OS</t>
        </is>
      </c>
      <c r="D14" s="49" t="inlineStr">
        <is>
          <t>Universal, vendor-neutral Excel WFM application</t>
        </is>
      </c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9" t="inlineStr">
        <is>
          <t>Artifact</t>
        </is>
      </c>
      <c r="C15" s="49" t="inlineStr">
        <is>
          <t>WFM_OS.xlsx</t>
        </is>
      </c>
      <c r="D15" s="49" t="inlineStr">
        <is>
          <t>Data-free application shell</t>
        </is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9" t="inlineStr">
        <is>
          <t>Release</t>
        </is>
      </c>
      <c r="C16" s="49" t="inlineStr">
        <is>
          <t>0.4.0-shell</t>
        </is>
      </c>
      <c r="D16" s="49" t="inlineStr">
        <is>
          <t>Semantic release identifier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9" t="inlineStr">
        <is>
          <t>Build type</t>
        </is>
      </c>
      <c r="C17" s="49" t="inlineStr">
        <is>
          <t>APPLICATION SHELL</t>
        </is>
      </c>
      <c r="D17" s="49" t="inlineStr">
        <is>
          <t>Structure, design, tables, validation, and formulas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9" t="inlineStr">
        <is>
          <t>Operational status</t>
        </is>
      </c>
      <c r="C18" s="49" t="inlineStr">
        <is>
          <t>NOT OPERATIONAL</t>
        </is>
      </c>
      <c r="D18" s="49" t="inlineStr">
        <is>
          <t>Do not use for workforce decisions yet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Build date</t>
        </is>
      </c>
      <c r="C19" s="49" t="inlineStr">
        <is>
          <t>2026-08-21</t>
        </is>
      </c>
      <c r="D19" s="49" t="inlineStr">
        <is>
          <t>UTC date supplied to the generator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Git commit</t>
        </is>
      </c>
      <c r="C20" s="49" t="inlineStr">
        <is>
          <t>1216b4a27056</t>
        </is>
      </c>
      <c r="D20" s="49" t="inlineStr">
        <is>
          <t>Source revision used for this build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Canonical contracts</t>
        </is>
      </c>
      <c r="C21" s="49" t="inlineStr">
        <is>
          <t>1.3.0</t>
        </is>
      </c>
      <c r="D21" s="49" t="inlineStr">
        <is>
          <t>00_Governance/00-02_CANONICAL_CONTRACTS.md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Design system</t>
        </is>
      </c>
      <c r="C22" s="49" t="inlineStr">
        <is>
          <t>1.0.0</t>
        </is>
      </c>
      <c r="D22" s="49" t="inlineStr">
        <is>
          <t>Obsidian &amp; Pearl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Power Query</t>
        </is>
      </c>
      <c r="C23" s="49" t="inlineStr">
        <is>
          <t>NOT EMBEDDED</t>
        </is>
      </c>
      <c r="D23" s="49" t="inlineStr">
        <is>
          <t>Must be installed and validated in desktop Excel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Power Pivot / DAX</t>
        </is>
      </c>
      <c r="C24" s="49" t="inlineStr">
        <is>
          <t>NOT EMBEDDED</t>
        </is>
      </c>
      <c r="D24" s="49" t="inlineStr">
        <is>
          <t>Must be installed and validated in desktop Excel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Python in Excel</t>
        </is>
      </c>
      <c r="C25" s="49" t="inlineStr">
        <is>
          <t>NOT EMBEDDED</t>
        </is>
      </c>
      <c r="D25" s="49" t="inlineStr">
        <is>
          <t>Must be installed and validated in desktop Excel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VBA</t>
        </is>
      </c>
      <c r="C26" s="49" t="inlineStr">
        <is>
          <t>NOT EMBEDDED</t>
        </is>
      </c>
      <c r="D26" s="49" t="inlineStr">
        <is>
          <t>This .xlsx contains no macros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9" t="inlineStr">
        <is>
          <t>Production data</t>
        </is>
      </c>
      <c r="C27" s="49" t="inlineStr">
        <is>
          <t>NONE</t>
        </is>
      </c>
      <c r="D27" s="49" t="inlineStr">
        <is>
          <t>Configuration defaults and empty tables only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9" t="inlineStr">
        <is>
          <t>Generator</t>
        </is>
      </c>
      <c r="C28" s="49" t="inlineStr">
        <is>
          <t>tools/build_workbook.py</t>
        </is>
      </c>
      <c r="D28" s="49" t="inlineStr">
        <is>
          <t>Version-controlled source of this shell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WFM OS</dc:creator>
  <dc:title>WFM OS — Universal Workforce Management</dc:title>
  <dc:description>Data-free Obsidian &amp; Pearl WFM OS application shell</dc:description>
  <dc:subject>Vendor-neutral workforce-management application shell</dc:subject>
  <dcterms:created xsi:type="dcterms:W3CDTF">2026-08-21T00:00:00Z</dcterms:created>
  <dcterms:modified xsi:type="dcterms:W3CDTF">2026-08-21T00:00:00Z</dcterms:modified>
  <cp:lastModifiedBy>WFM OS deterministic generator</cp:lastModifiedBy>
  <cp:category>Business application</cp:category>
  <cp:version>0.4.0-shell</cp:version>
  <cp:keywords>WFM, Excel, workforce management, vendor neutral</cp:keywords>
</cp:coreProperties>
</file>